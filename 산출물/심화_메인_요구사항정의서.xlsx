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istrator\Desktop\심화교육강의\메인프로젝트\산출물\"/>
    </mc:Choice>
  </mc:AlternateContent>
  <xr:revisionPtr revIDLastSave="0" documentId="13_ncr:1_{C29D9836-11E6-40F4-BE64-E2F64EC2F57F}" xr6:coauthVersionLast="47" xr6:coauthVersionMax="47" xr10:uidLastSave="{00000000-0000-0000-0000-000000000000}"/>
  <bookViews>
    <workbookView xWindow="-28920" yWindow="-15" windowWidth="29040" windowHeight="17640" tabRatio="661" activeTab="5" xr2:uid="{0C0D165F-C3D8-4020-BDE5-9C0A8E8B267A}"/>
  </bookViews>
  <sheets>
    <sheet name="개요" sheetId="11" r:id="rId1"/>
    <sheet name="개정이력" sheetId="10" r:id="rId2"/>
    <sheet name="MAIN" sheetId="18" r:id="rId3"/>
    <sheet name="TEAM" sheetId="19" r:id="rId4"/>
    <sheet name="UM" sheetId="15" r:id="rId5"/>
    <sheet name="DM" sheetId="16" r:id="rId6"/>
    <sheet name="DI" sheetId="17" r:id="rId7"/>
    <sheet name="USER" sheetId="2" r:id="rId8"/>
  </sheets>
  <externalReferences>
    <externalReference r:id="rId9"/>
  </externalReferences>
  <definedNames>
    <definedName name="_xlnm._FilterDatabase" localSheetId="7" hidden="1">USER!$A$5:$D$6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9" l="1"/>
  <c r="C8" i="19"/>
  <c r="C7" i="19"/>
  <c r="F3" i="19"/>
  <c r="A1" i="19"/>
  <c r="C8" i="18"/>
  <c r="C7" i="18"/>
  <c r="F3" i="18"/>
  <c r="A1" i="18"/>
  <c r="F9" i="10"/>
  <c r="E9" i="10"/>
  <c r="F3" i="15" l="1"/>
  <c r="E8" i="10"/>
  <c r="F8" i="10"/>
  <c r="A1" i="2" s="1"/>
  <c r="F7" i="10"/>
  <c r="F6" i="10"/>
  <c r="E7" i="10"/>
  <c r="E6" i="10"/>
  <c r="C7" i="2"/>
  <c r="F3" i="2"/>
  <c r="C8" i="17"/>
  <c r="C7" i="17"/>
  <c r="F3" i="17"/>
  <c r="C8" i="16"/>
  <c r="C9" i="16"/>
  <c r="C10" i="16"/>
  <c r="C11" i="16"/>
  <c r="C12" i="16"/>
  <c r="C7" i="16"/>
  <c r="F3" i="16"/>
  <c r="C8" i="15"/>
  <c r="C9" i="15"/>
  <c r="C10" i="15"/>
  <c r="C11" i="15"/>
  <c r="C12" i="15"/>
  <c r="C13" i="15"/>
  <c r="C7" i="15"/>
  <c r="A1" i="16" l="1"/>
  <c r="A1" i="17"/>
  <c r="A1" i="15"/>
</calcChain>
</file>

<file path=xl/sharedStrings.xml><?xml version="1.0" encoding="utf-8"?>
<sst xmlns="http://schemas.openxmlformats.org/spreadsheetml/2006/main" count="262" uniqueCount="153">
  <si>
    <t>로그인</t>
    <phoneticPr fontId="1" type="noConversion"/>
  </si>
  <si>
    <t>시스템 명</t>
    <phoneticPr fontId="1" type="noConversion"/>
  </si>
  <si>
    <t>작성자</t>
    <phoneticPr fontId="1" type="noConversion"/>
  </si>
  <si>
    <t>안준휘</t>
    <phoneticPr fontId="1" type="noConversion"/>
  </si>
  <si>
    <t>서브 시스템명</t>
    <phoneticPr fontId="1" type="noConversion"/>
  </si>
  <si>
    <t>요구사항</t>
    <phoneticPr fontId="1" type="noConversion"/>
  </si>
  <si>
    <t>요구사항 ID</t>
    <phoneticPr fontId="1" type="noConversion"/>
  </si>
  <si>
    <t>구분</t>
    <phoneticPr fontId="1" type="noConversion"/>
  </si>
  <si>
    <t>작성일</t>
    <phoneticPr fontId="1" type="noConversion"/>
  </si>
  <si>
    <t>기능 ID</t>
    <phoneticPr fontId="1" type="noConversion"/>
  </si>
  <si>
    <t>요구사항명</t>
    <phoneticPr fontId="1" type="noConversion"/>
  </si>
  <si>
    <t>세부 요구사항</t>
    <phoneticPr fontId="1" type="noConversion"/>
  </si>
  <si>
    <t>필수 값</t>
    <phoneticPr fontId="1" type="noConversion"/>
  </si>
  <si>
    <t xml:space="preserve">선택 값 </t>
    <phoneticPr fontId="1" type="noConversion"/>
  </si>
  <si>
    <t>기타</t>
    <phoneticPr fontId="1" type="noConversion"/>
  </si>
  <si>
    <t>EXERCISE</t>
    <phoneticPr fontId="1" type="noConversion"/>
  </si>
  <si>
    <t>최종 업데이트</t>
    <phoneticPr fontId="1" type="noConversion"/>
  </si>
  <si>
    <t>USER_001</t>
    <phoneticPr fontId="1" type="noConversion"/>
  </si>
  <si>
    <t>USER_001_LOGIN_001</t>
    <phoneticPr fontId="1" type="noConversion"/>
  </si>
  <si>
    <t>- 아이디
- 비밀번호</t>
    <phoneticPr fontId="1" type="noConversion"/>
  </si>
  <si>
    <t>권한 구분</t>
    <phoneticPr fontId="1" type="noConversion"/>
  </si>
  <si>
    <t>비회원</t>
    <phoneticPr fontId="1" type="noConversion"/>
  </si>
  <si>
    <t>문서 개정이력</t>
    <phoneticPr fontId="1" type="noConversion"/>
  </si>
  <si>
    <t>No</t>
    <phoneticPr fontId="1" type="noConversion"/>
  </si>
  <si>
    <t>Version</t>
    <phoneticPr fontId="1" type="noConversion"/>
  </si>
  <si>
    <t>작성일자</t>
    <phoneticPr fontId="1" type="noConversion"/>
  </si>
  <si>
    <t>변경사유</t>
    <phoneticPr fontId="1" type="noConversion"/>
  </si>
  <si>
    <t>변경내용</t>
    <phoneticPr fontId="1" type="noConversion"/>
  </si>
  <si>
    <t>초안작성</t>
    <phoneticPr fontId="1" type="noConversion"/>
  </si>
  <si>
    <t>요구사항정의서 초안 작성</t>
    <phoneticPr fontId="1" type="noConversion"/>
  </si>
  <si>
    <t>문서 정보</t>
    <phoneticPr fontId="1" type="noConversion"/>
  </si>
  <si>
    <t>작업</t>
    <phoneticPr fontId="1" type="noConversion"/>
  </si>
  <si>
    <t>파일명</t>
    <phoneticPr fontId="1" type="noConversion"/>
  </si>
  <si>
    <t>요구사항정의서.xlsx</t>
    <phoneticPr fontId="1" type="noConversion"/>
  </si>
  <si>
    <t>사용자, 관리자, 주최자 요구사항 정의서</t>
    <phoneticPr fontId="1" type="noConversion"/>
  </si>
  <si>
    <t>SYSTEM_USER</t>
    <phoneticPr fontId="1" type="noConversion"/>
  </si>
  <si>
    <t>2025.11.05</t>
    <phoneticPr fontId="1" type="noConversion"/>
  </si>
  <si>
    <t>시스템 목표</t>
    <phoneticPr fontId="1" type="noConversion"/>
  </si>
  <si>
    <t>의료기기 사고 예방 및 사고 발생 시 투명한 점검 기록을 통한 피해 구제 지원</t>
    <phoneticPr fontId="1" type="noConversion"/>
  </si>
  <si>
    <t>SMDS</t>
    <phoneticPr fontId="1" type="noConversion"/>
  </si>
  <si>
    <t>의료기기 관리</t>
    <phoneticPr fontId="1" type="noConversion"/>
  </si>
  <si>
    <t xml:space="preserve">최초작성일 </t>
    <phoneticPr fontId="1" type="noConversion"/>
  </si>
  <si>
    <t>프로젝트명</t>
    <phoneticPr fontId="1" type="noConversion"/>
  </si>
  <si>
    <t>Smart Medical Diagnostic System (스마트 의료 진단 시스템)</t>
    <phoneticPr fontId="1" type="noConversion"/>
  </si>
  <si>
    <t>사용자 관리</t>
    <phoneticPr fontId="1" type="noConversion"/>
  </si>
  <si>
    <t>상세작성</t>
    <phoneticPr fontId="1" type="noConversion"/>
  </si>
  <si>
    <t>요구사항정의서 상세 작성</t>
    <phoneticPr fontId="1" type="noConversion"/>
  </si>
  <si>
    <t>사용자 목록 조회</t>
    <phoneticPr fontId="1" type="noConversion"/>
  </si>
  <si>
    <t>사용자 등록</t>
    <phoneticPr fontId="1" type="noConversion"/>
  </si>
  <si>
    <t>사용자 수정</t>
    <phoneticPr fontId="1" type="noConversion"/>
  </si>
  <si>
    <t>- 식별 코드
- 이름
- 소속</t>
    <phoneticPr fontId="1" type="noConversion"/>
  </si>
  <si>
    <t>-연락처</t>
    <phoneticPr fontId="1" type="noConversion"/>
  </si>
  <si>
    <t>의료기기 목록 조회</t>
    <phoneticPr fontId="1" type="noConversion"/>
  </si>
  <si>
    <t>사용자 검색</t>
    <phoneticPr fontId="1" type="noConversion"/>
  </si>
  <si>
    <t xml:space="preserve">1. 검색별 필터링 조건 
 - 검색할 화면, 검색버튼 조회 목록 위에  같은 행으로 배치
 - 식별코드, 이름은 INPUT박스로 구성(기본값: 빈값) 
 - 소속은 선택박스로 구성(기본값: 전체) 
 - 따로 필터링을 하지 않았을시 목록은 전체 목록을 조회
 - 검색별 필터링 조건은 AND조건이 아닌 OR 조건으로 필터링
 - 검색 버튼 클릭시 해당 조건에 맞는 목록들만 출력   </t>
    <phoneticPr fontId="1" type="noConversion"/>
  </si>
  <si>
    <t>UM_001</t>
    <phoneticPr fontId="1" type="noConversion"/>
  </si>
  <si>
    <t>UM_001_LIST_001</t>
    <phoneticPr fontId="1" type="noConversion"/>
  </si>
  <si>
    <t xml:space="preserve">사용자 상세조회 </t>
    <phoneticPr fontId="1" type="noConversion"/>
  </si>
  <si>
    <t>사용자 삭제</t>
    <phoneticPr fontId="1" type="noConversion"/>
  </si>
  <si>
    <t>1. 삭제 클릭
 - "정말로 삭제하시겠습니까?\n 삭제 시 회원 정보가 삭제됩니다." 라는 메시지 표시 
 - "확인" 버튼 클릭시 회원 정보 삭제(DELETE)
 - 이후 "회원 정보가 삭제되었습니다." 팝업 표시
 - 이후 삭제된 회원정보는 UI에 반영(READ)</t>
    <phoneticPr fontId="1" type="noConversion"/>
  </si>
  <si>
    <t>의료기기 검색</t>
    <phoneticPr fontId="1" type="noConversion"/>
  </si>
  <si>
    <t>SMDS_UM(User Management)</t>
    <phoneticPr fontId="1" type="noConversion"/>
  </si>
  <si>
    <t>의료기기 등록</t>
    <phoneticPr fontId="1" type="noConversion"/>
  </si>
  <si>
    <t>의료기기 수정</t>
    <phoneticPr fontId="1" type="noConversion"/>
  </si>
  <si>
    <t>관리자 
운영자</t>
    <phoneticPr fontId="1" type="noConversion"/>
  </si>
  <si>
    <t>의료기기 삭제</t>
    <phoneticPr fontId="1" type="noConversion"/>
  </si>
  <si>
    <t>의료기기 점검</t>
    <phoneticPr fontId="1" type="noConversion"/>
  </si>
  <si>
    <t>의료기기 상세조회</t>
    <phoneticPr fontId="1" type="noConversion"/>
  </si>
  <si>
    <t xml:space="preserve">1. 수정 클릭
 - 수정 클릭시 위 내용(연락처 제외)를 모두 입력했는지 확인 
 - 입력값이 다 있고, 기존 내용을 수정한 경우(AND조건) 
  1) DB에 수정한 목록 반영(UPDATE)
  2) "수정이 완료되었습니다." 팝업창 노출
  3) "확인 버튼" 클릭시 팝업창이 모두 종료
  4) 수정 목록 바로 조회 목록에 반영(READ)
 - 입력값이 없거나, 수정한 값이 없을경우(OR조건)
  1) "내용을 모두 입력해주세요" 또는 "수정한 값이 없습니다." 팝업창 표시 </t>
    <phoneticPr fontId="1" type="noConversion"/>
  </si>
  <si>
    <t>1. 삭제 클릭
 - "정말로 삭제하시겠습니까?\n 삭제 시 해당 의료기기 정보가 삭제됩니다." 라는 메시지 표시 
 - "확인" 버튼 클릭시 해당 의료기기 정보 삭제(DELETE)
 - 이후 "해당 의료기기 정보가 삭제되었습니다." 팝업 표시
 - 이후 삭제된 해당 의료기기 정보는 UI에 반영(READ)</t>
    <phoneticPr fontId="1" type="noConversion"/>
  </si>
  <si>
    <t>의료기기 점검 일지 목록</t>
    <phoneticPr fontId="1" type="noConversion"/>
  </si>
  <si>
    <t>SMDS_DM(Device Management)</t>
    <phoneticPr fontId="1" type="noConversion"/>
  </si>
  <si>
    <t>DM_001</t>
    <phoneticPr fontId="1" type="noConversion"/>
  </si>
  <si>
    <t>DM_002</t>
    <phoneticPr fontId="1" type="noConversion"/>
  </si>
  <si>
    <t>의료기기 조회</t>
    <phoneticPr fontId="1" type="noConversion"/>
  </si>
  <si>
    <t>사용자 조회</t>
    <phoneticPr fontId="1" type="noConversion"/>
  </si>
  <si>
    <t>UM_002</t>
    <phoneticPr fontId="1" type="noConversion"/>
  </si>
  <si>
    <t>UM_001_LIST_002</t>
    <phoneticPr fontId="1" type="noConversion"/>
  </si>
  <si>
    <t>UM_002_MANAGEMENT_001</t>
    <phoneticPr fontId="1" type="noConversion"/>
  </si>
  <si>
    <t>UM_002_MANAGEMENT_002</t>
  </si>
  <si>
    <t>UM_002_MANAGEMENT_003</t>
  </si>
  <si>
    <t>UM_002_MANAGEMENT_004</t>
  </si>
  <si>
    <t>기능별구분</t>
    <phoneticPr fontId="1" type="noConversion"/>
  </si>
  <si>
    <t>기능별 기능ID 및 요구사항ID 수정</t>
    <phoneticPr fontId="1" type="noConversion"/>
  </si>
  <si>
    <t>DM_001_LIST_001</t>
    <phoneticPr fontId="1" type="noConversion"/>
  </si>
  <si>
    <t>DM_001_LIST_002</t>
    <phoneticPr fontId="1" type="noConversion"/>
  </si>
  <si>
    <t>DM_002_MANAGEMENT_001</t>
    <phoneticPr fontId="1" type="noConversion"/>
  </si>
  <si>
    <t>DM_002_MANAGEMENT_002</t>
  </si>
  <si>
    <t>DM_002_MANAGEMENT_003</t>
  </si>
  <si>
    <t>DM_002_MANAGEMENT_004</t>
  </si>
  <si>
    <t>DI_001</t>
    <phoneticPr fontId="1" type="noConversion"/>
  </si>
  <si>
    <t>관리자, 운영자</t>
    <phoneticPr fontId="1" type="noConversion"/>
  </si>
  <si>
    <t>SMDS_DI(Device Inspection)</t>
    <phoneticPr fontId="1" type="noConversion"/>
  </si>
  <si>
    <t>DI_002</t>
  </si>
  <si>
    <t>해당 의료기기 점검자</t>
    <phoneticPr fontId="1" type="noConversion"/>
  </si>
  <si>
    <t>관리자
운영자
점검자</t>
    <phoneticPr fontId="1" type="noConversion"/>
  </si>
  <si>
    <t>UM_003</t>
    <phoneticPr fontId="1" type="noConversion"/>
  </si>
  <si>
    <t>UM_003_GROUP_001</t>
    <phoneticPr fontId="1" type="noConversion"/>
  </si>
  <si>
    <t>사용자 조직도</t>
    <phoneticPr fontId="1" type="noConversion"/>
  </si>
  <si>
    <t xml:space="preserve">1. 화면 구성 
- 최상위 조직 : 병원(사용자가 속한 병원)
- 중간 조직(실무조직) : 사용자가 속한 실무 담당
- 하위 : 시스템 내에서 사용자의 역할  </t>
    <phoneticPr fontId="1" type="noConversion"/>
  </si>
  <si>
    <t>사용자</t>
    <phoneticPr fontId="1" type="noConversion"/>
  </si>
  <si>
    <t>1. 비밀번호 입력시 마스킹 처리
2. 실패시 팝업창에 "아이디 또는 비밀번호를 잘못 입력하였습니다." 메시지 표시
3. 세션관리(JWT 도는 서버 세션)으로 보안 강화</t>
    <phoneticPr fontId="1" type="noConversion"/>
  </si>
  <si>
    <t>의료기기 점검 목록</t>
    <phoneticPr fontId="1" type="noConversion"/>
  </si>
  <si>
    <t>해당 의료기기 
운영자 및 점검자</t>
    <phoneticPr fontId="1" type="noConversion"/>
  </si>
  <si>
    <t xml:space="preserve">- 점검의료기기
- 작성자
- 작성자의실무
- 점검점검주기
- 점검항목
- 점검날짜(기본값:당일날짜)
- 이미지
- 점검상태
- 조치항목
- 조치내용 </t>
    <phoneticPr fontId="1" type="noConversion"/>
  </si>
  <si>
    <t>- 의료기기명
- 소속병원</t>
    <phoneticPr fontId="1" type="noConversion"/>
  </si>
  <si>
    <t>- 점검주기</t>
    <phoneticPr fontId="1" type="noConversion"/>
  </si>
  <si>
    <t xml:space="preserve">1. 등록 화면
 - 등록 버튼 클릭시 등록 팝업창을 출력
 - 하위 번호별로 등록 팝업창에 출력
  1) 기기명(INPUT)
  2) 소속병원(INPUT, 비활성,  운영자가 소속된 병원으로 자동기입)
  3) 점검주기(드롭박스)
 - 왼쪽 닫기 버튼, 오른쪽 등록 버튼 구성   
2. 등록 확인
 - 등록 클릭 시 위 내용을 모두 입력 했는지 확인 
 - 입력값이 다 있을 경우(AND 조건)
  1) DB에 입력한 목록 반영(CREATE)
  2) "등록이 완료되었습니다." 팝업창 노출
  3) "확인 버튼" 클릭시 팝업창이 모두 종료
  4) 등록한 목록 DB에 바로 반영
  5) 등록한 목록 바로 조회목록에 출력 가능(READ)       
 - 입력값이 하나라도 없을 경우(OR조건)
  1) "내용을 모두 입력해주세요" 팝업 표시
  2) 팝업 아래 확인 클릭시 입력값 안한곳 아래 빨간글자로 "입력을 안했습니다." 표기 </t>
    <phoneticPr fontId="1" type="noConversion"/>
  </si>
  <si>
    <t>1. 의료기기 번호 클릭시 상세 팝업창 출력
2. 하기 내용 순서대로 행 별로 출력 
 - 사진
 - 기기명 
 - 소속병원
 - 점검주기
3. 왼쪽 닫기, 중앙 수정, 오른쪽 딛기 버튼 출력</t>
    <phoneticPr fontId="1" type="noConversion"/>
  </si>
  <si>
    <t xml:space="preserve">1. 수정 클릭
 - 수정 클릭시 상세화면의 내용을 모두 입력했는지 확인 
 - 입력값이 다 있고, 기존 내용을 수정한 경우(AND조건) 
  1) DB에 수정한 목록 반영(UPDATE)
  2) "수정이 완료되었습니다." 팝업창 노출
  3) "확인 버튼" 클릭시 팝업창이 모두 종료
  4) 수정 목록 바로 조회 목록에 반영(READ)
 - 입력값이 없거나, 수정한 값이 없을경우(OR조건)
  1) "내용을 모두 입력해주세요" 또는 "수정한 값이 없습니다." 팝업창 표시 </t>
    <phoneticPr fontId="1" type="noConversion"/>
  </si>
  <si>
    <t>1. 의료기기별 목록 우측에 점검버튼클릭
 - 점검자인 경우(점검을 안했을 경우에만) : 점검 사이트로 이동 
 - 점검자가 아닌 경우 : 점검일지 사이트(2번항목)로 이동 
2. 해당 의료기기 점검일지 사이트로 이동(페이지 이동)
3. 상단 제목을 "점검내역" 또는 "점검목록"
4. 제목 아래에 왼쪽부터 나열(최신순)
 - 번호
 - 날짜
 - 제목(제품명+점검내역 -&gt; 클릭시 세부 점검 내용으로 이동)
5. 제목 우측에 "점검" 버튼 추가</t>
    <phoneticPr fontId="1" type="noConversion"/>
  </si>
  <si>
    <t>DI_001_LIST_001</t>
    <phoneticPr fontId="1" type="noConversion"/>
  </si>
  <si>
    <t>DI_002_INSPECTION_001</t>
    <phoneticPr fontId="1" type="noConversion"/>
  </si>
  <si>
    <t xml:space="preserve">1. 점검의료기기(드롭 다운,비활성화, 해당 의료기기 자동 입력) 
2. 작성자(INPUT, 비활성화, 자동입력)
3. 담당 실무(드롭다운, 비활성화, 자동입력)
4. 주기(INPUT,비활성화 상태, 자동입력)
5. 점검항목(드롭박스 형태)
6. 점검 날짜(INPUT, 기본값 : 당일날짜)
7. 이미지 첨부
8. 점검항목(드롭박스 형태)
9. 점검상태(드롭박스 형태)
10. 조치항목(드롭박스 형태)
11. 조치내용(INPUT Area)
12. 맨아래에 Back,Save 버튼 추가
13. Save누르면 내용 DB에 반영(Create)
14. 이후 해당 점검일지 사이트로 이동(Read)   </t>
    <phoneticPr fontId="1" type="noConversion"/>
  </si>
  <si>
    <t>- 로그인 ID
- 로그인 패스워드(암호화)
- 이름
- 소속병원
- 시스템권한
- 실무
- 얼굴사진</t>
    <phoneticPr fontId="1" type="noConversion"/>
  </si>
  <si>
    <t>UM시트 수정</t>
    <phoneticPr fontId="1" type="noConversion"/>
  </si>
  <si>
    <t xml:space="preserve">1. 등록 화면
 - 등록 버튼 클릭시 등록 팝업창을 출력
 - 하위 번호별로 등록 팝업창에 출력
  1) 얼굴사진(사진업로드 등록필드)
  2) 사용자 로그인 ID (INPUT, 중복확인)
  3) 사용자 로그인 패스워드(INPUT, 특수문자 포함 8글자 이상,마스킹 처리) 
  4) 이름(INPUT)
  5) 소속병원(선택박스)
  6) 시스템 권한
  7) 실무
  8) 연락처(INPUT) 
 - 왼쪽 닫기 버튼, 오른쪽 등록 버튼 구성 
2. 등록 확인
 - 등록 클릭 시 위 내용(연락처 제외)를 모두 입력 했는지 확인 
 - 입력값이 다 있을 경우(AND 조건)
  1) DB에 입력한 목록 반영(CREATE, 패스워드, 주민번호 뒷자리 암호화)
  2) "등록이 완료되었습니다." 팝업창 노출
  2) "확인 버튼" 클릭시 팝업창이 모두 종료
  3) 등록한 목록 DB에 바로 반영
  4) 등록한 목록 바로 조회목록에 출력 가능(READ)       
 - 입력값이 하나라도 없을 경우(OR조건)
  1) "내용을 모두 입력해주세요" 팝업 표시
  2) 팝업 아래 확인 클릭시 입력값 안한곳 아래 빨간글자로 "입력을 안했습니다."표기 </t>
    <phoneticPr fontId="1" type="noConversion"/>
  </si>
  <si>
    <t>1. 상세 조회 화면(팝업창) 
 - 사용자별 식별 코드 클릭시 해당 사용자정보 상세 화면 출력  
 - 하위 번호 별로 확인하려는 사용자 상세 팝업창 출력
  1) 얼굴사진(활성화)
  2) 사용자 로그인 ID (비활성화)
  3) 사용자 로그인 패스워드(활성화, 유효성 검사) 
  4) 이름(활성화)
  5) 소속병원(활성화)
  6) 시스템권한(활성화)
  7) 실무(활설화)
  8) 연락처(활성화)
 - 왼쪽 닫기 버튼, 중앙 수정버튼 , 오른쪽 삭제버튼 구성</t>
    <phoneticPr fontId="1" type="noConversion"/>
  </si>
  <si>
    <t>- 로그인 패스워드(암호화)
- 이름
- 소속병원
- 시스템권한
- 실무
- 얼굴사진</t>
    <phoneticPr fontId="1" type="noConversion"/>
  </si>
  <si>
    <t>UM 등록,수정 관련 필수값 추가(시스템권한, 실무)</t>
    <phoneticPr fontId="1" type="noConversion"/>
  </si>
  <si>
    <t>1. 목록 조회
 - 테이블 또는 리스트 형식으로 배치
 - 조회목록 위에 "사용자 목록" 표기  
 - 사용자 목록(식별 코드, 이름, 소속병원, 시스템권한) 조회
 - 페이지네이션 적용
 - 사용자별 식별코드 클릭시 해당 사용자 상세정보 조회화면 출력(팝업창)
 - 등록 버튼은 검색버튼보다 상단에 배치</t>
    <phoneticPr fontId="1" type="noConversion"/>
  </si>
  <si>
    <t>시트 추가</t>
    <phoneticPr fontId="1" type="noConversion"/>
  </si>
  <si>
    <t>MAIN, TEAM 시트 추가</t>
    <phoneticPr fontId="1" type="noConversion"/>
  </si>
  <si>
    <t>SMDS_MAIN</t>
    <phoneticPr fontId="1" type="noConversion"/>
  </si>
  <si>
    <t>TEAM_001</t>
    <phoneticPr fontId="1" type="noConversion"/>
  </si>
  <si>
    <t>병원별 운영자 관리</t>
    <phoneticPr fontId="1" type="noConversion"/>
  </si>
  <si>
    <t>TEAM_001__OPER_001</t>
    <phoneticPr fontId="1" type="noConversion"/>
  </si>
  <si>
    <t>병원별 운영자 목록 조회</t>
    <phoneticPr fontId="1" type="noConversion"/>
  </si>
  <si>
    <t>1. 목록 조회
 - 병원에 소속된 운영자 별로 소속된 병원에 소속된 실무들을 조회
 - 조회 목록
 1) 순번
 2) 실무명</t>
    <phoneticPr fontId="1" type="noConversion"/>
  </si>
  <si>
    <t>운영자</t>
    <phoneticPr fontId="1" type="noConversion"/>
  </si>
  <si>
    <t>TEAM_001__OPER_002</t>
  </si>
  <si>
    <t>병원별 실무 추가</t>
    <phoneticPr fontId="1" type="noConversion"/>
  </si>
  <si>
    <t>1. 실무 등록
 - 병원에 소속된 운영자가 실무를 등록하여 추가
 - 실무 등록 클릭시 아래 내용의 팝업이 출력
 1) 실무명(INPUT창, 해당 병원의 실무명의 이름이 겹치지 않는지 중복확인)
 2) 취소, 등록 버튼 추가
 - 등록시 해당 운영자가 소속된 병원에 요청한 실무를 추가</t>
    <phoneticPr fontId="1" type="noConversion"/>
  </si>
  <si>
    <t>- 실무명</t>
    <phoneticPr fontId="1" type="noConversion"/>
  </si>
  <si>
    <t>TEAM_002</t>
    <phoneticPr fontId="1" type="noConversion"/>
  </si>
  <si>
    <t>병원 관리</t>
    <phoneticPr fontId="1" type="noConversion"/>
  </si>
  <si>
    <t>TEAM_002_MANAGEMENT_001</t>
    <phoneticPr fontId="1" type="noConversion"/>
  </si>
  <si>
    <t>병원 등록</t>
    <phoneticPr fontId="1" type="noConversion"/>
  </si>
  <si>
    <t>1. 병원 등록 
 - 관리자만 병원을 등록할수있게 우측 상단에 병원등록 버튼 추가 
 - 등록 클릭시 아래 내용의 팝업창이 출력
   1) 병원명(INPUT, 이름이 중복되지않는지 확인)
   2) 취소, 등록 버튼 추가 
 - 등록시 병원을 추가</t>
    <phoneticPr fontId="1" type="noConversion"/>
  </si>
  <si>
    <t>관리자</t>
    <phoneticPr fontId="1" type="noConversion"/>
  </si>
  <si>
    <t>-병원명</t>
    <phoneticPr fontId="1" type="noConversion"/>
  </si>
  <si>
    <t>MAIN_001</t>
    <phoneticPr fontId="1" type="noConversion"/>
  </si>
  <si>
    <t>점검자</t>
    <phoneticPr fontId="1" type="noConversion"/>
  </si>
  <si>
    <t>점검 스케줄</t>
    <phoneticPr fontId="1" type="noConversion"/>
  </si>
  <si>
    <t>점검 현황</t>
    <phoneticPr fontId="1" type="noConversion"/>
  </si>
  <si>
    <t>대시보드</t>
    <phoneticPr fontId="1" type="noConversion"/>
  </si>
  <si>
    <t>MAIN_001_DASHBOARD_001</t>
    <phoneticPr fontId="1" type="noConversion"/>
  </si>
  <si>
    <t>MAIN_001_DASHBOARD_002</t>
  </si>
  <si>
    <t>1. 기기 목록
 - 금일 점검할 점검기기들을 출력 
 - 기기별 우측에 점검버튼 추가
 - 해당 기기 점검이 금일 완료시, 점검버튼 비활성화, 점검완료로 표시</t>
    <phoneticPr fontId="1" type="noConversion"/>
  </si>
  <si>
    <t xml:space="preserve">1. 점검 현황 표시
 - 점검주기별 점검 현황을  아래 내용처럼 테이블 형식으로 출력 
 - 일일 
 1) 딩일 등록된 점검 기록 수
 2) 당일 완료된 점검 수
 3) 미결/미처리 점검 건수
 4) 긴급 조치 필요 건수
 - 주간 
 1) 주간 점검 수행율
 2) 전주 대비 수행 증감율
 3) 주간 고장/결함 발생 건 수
 4) 가장 많은 결함 발생 기기
 5) 차주 점검 예정 기기 목록
 - 월간
 1) 월간 점검 총완료 건수
 2) 월간 평균 점검 소요 시간
 3) 점검 불이행/지연율
 4) 점검 수행 건 수
 5) 가장 많은 점검을 수행한 작업자 </t>
    <phoneticPr fontId="1" type="noConversion"/>
  </si>
  <si>
    <t xml:space="preserve">1. 목록 조회
 - 테이블 또는 리스트 형식으로 배치
 - 조회목록 위에 "의료기기 목록" 표기  
 - 의료기기 목록(식별코드, 의료기기명, 소속병원, 점검주기, 점검목록) 조회
 - 페이지네이션 적용
 - 의료기기별 기기번호 클릭시 해당 의료기기 상세정보 조회화면 출력(팝업창)
2. 운영팀
 - 자신의 조직에서 등록한 목록들만 조회
3. 점검팀 
 - 자신의 소속팀이 점검할 목록들만 조회 </t>
    <phoneticPr fontId="1" type="noConversion"/>
  </si>
  <si>
    <t>- 식별코드
- 의료기기명
- 점검주기</t>
    <phoneticPr fontId="1" type="noConversion"/>
  </si>
  <si>
    <t xml:space="preserve">1. 검색별 필터링 조건 
 - 검색할 화면, 검색버튼 조회 목록 위에  같은 행으로 배치
 - 기기명(INPUT, 기본값: 기기명), 소속병원(드롭박스, 기본값 : 병원선택)로 구성 
 - 점검주기은 선택박스로 구성(기본값: 전체) 
 - 따로 필터링을 하지 않았을시 목록은 전체 목록을 조회
 - 검색별 필터링 조건은 AND조건이 아닌 OR 조건으로 필터링
 - 검색 버튼 클릭시 해당 조건에 맞는 목록들만 출력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</si>
</sst>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yyyy\.mm\.dd"/>
  </numFmts>
  <fonts count="10" x14ac:knownFonts="1">
    <font>
      <sz val="11"/>
      <color theme="1"/>
      <name val="맑은 고딕"/>
      <family val="2"/>
      <charset val="129"/>
      <scheme val="minor"/>
    </font>
    <font>
      <sz val="8"/>
      <name val="맑은 고딕"/>
      <family val="2"/>
      <charset val="129"/>
      <scheme val="minor"/>
    </font>
    <font>
      <b/>
      <sz val="10"/>
      <color theme="1"/>
      <name val="Arial"/>
      <family val="2"/>
    </font>
    <font>
      <b/>
      <sz val="10"/>
      <color theme="1"/>
      <name val="맑은 고딕"/>
      <family val="2"/>
      <charset val="129"/>
    </font>
    <font>
      <b/>
      <sz val="11"/>
      <color theme="1"/>
      <name val="맑은 고딕"/>
      <family val="2"/>
      <charset val="129"/>
      <scheme val="minor"/>
    </font>
    <font>
      <b/>
      <sz val="12"/>
      <color theme="1"/>
      <name val="맑은 고딕"/>
      <family val="3"/>
      <charset val="129"/>
    </font>
    <font>
      <b/>
      <sz val="12"/>
      <color theme="1"/>
      <name val="Arial"/>
      <family val="3"/>
      <charset val="129"/>
    </font>
    <font>
      <b/>
      <sz val="11"/>
      <color theme="1"/>
      <name val="맑은 고딕"/>
      <family val="3"/>
      <charset val="129"/>
      <scheme val="minor"/>
    </font>
    <font>
      <b/>
      <u/>
      <sz val="24"/>
      <color theme="1"/>
      <name val="맑은 고딕"/>
      <family val="3"/>
      <charset val="129"/>
    </font>
    <font>
      <b/>
      <sz val="20"/>
      <color theme="1"/>
      <name val="맑은 고딕"/>
      <family val="3"/>
      <charset val="129"/>
      <scheme val="minor"/>
    </font>
  </fonts>
  <fills count="5">
    <fill>
      <patternFill patternType="none"/>
    </fill>
    <fill>
      <patternFill patternType="gray125"/>
    </fill>
    <fill>
      <patternFill patternType="solid">
        <fgColor rgb="FFCCECFF"/>
        <bgColor indexed="64"/>
      </patternFill>
    </fill>
    <fill>
      <patternFill patternType="solid">
        <fgColor theme="0"/>
        <bgColor indexed="64"/>
      </patternFill>
    </fill>
    <fill>
      <patternFill patternType="solid">
        <fgColor theme="0" tint="-4.9989318521683403E-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s>
  <cellStyleXfs count="1">
    <xf numFmtId="0" fontId="0" fillId="0" borderId="0">
      <alignment vertical="center"/>
    </xf>
  </cellStyleXfs>
  <cellXfs count="102">
    <xf numFmtId="0" fontId="0" fillId="0" borderId="0" xfId="0">
      <alignment vertical="center"/>
    </xf>
    <xf numFmtId="0" fontId="7" fillId="2" borderId="1" xfId="0" applyFont="1" applyFill="1" applyBorder="1" applyAlignment="1">
      <alignment horizontal="center" vertical="center"/>
    </xf>
    <xf numFmtId="0" fontId="4" fillId="0" borderId="1" xfId="0" applyFont="1" applyBorder="1" applyAlignment="1">
      <alignment horizontal="center" vertical="center"/>
    </xf>
    <xf numFmtId="49" fontId="7" fillId="2" borderId="4" xfId="0" applyNumberFormat="1" applyFont="1" applyFill="1" applyBorder="1" applyAlignment="1">
      <alignment horizontal="center" vertical="top"/>
    </xf>
    <xf numFmtId="49" fontId="7" fillId="2" borderId="4" xfId="0" applyNumberFormat="1" applyFont="1" applyFill="1" applyBorder="1" applyAlignment="1">
      <alignment horizontal="center" vertical="top" wrapText="1"/>
    </xf>
    <xf numFmtId="49" fontId="5" fillId="2" borderId="1"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49" fontId="4" fillId="3" borderId="0" xfId="0" applyNumberFormat="1" applyFont="1" applyFill="1" applyAlignment="1">
      <alignment horizontal="center" vertical="center"/>
    </xf>
    <xf numFmtId="49" fontId="4" fillId="3" borderId="0" xfId="0" applyNumberFormat="1" applyFont="1" applyFill="1" applyAlignment="1">
      <alignment horizontal="left" vertical="center"/>
    </xf>
    <xf numFmtId="0" fontId="0" fillId="4" borderId="0" xfId="0" applyFill="1">
      <alignment vertical="center"/>
    </xf>
    <xf numFmtId="49" fontId="4" fillId="4" borderId="0" xfId="0" applyNumberFormat="1" applyFont="1" applyFill="1" applyAlignment="1">
      <alignment horizontal="center" vertical="center"/>
    </xf>
    <xf numFmtId="49" fontId="4" fillId="4" borderId="0" xfId="0" applyNumberFormat="1" applyFont="1" applyFill="1" applyAlignment="1">
      <alignment horizontal="left" vertical="center"/>
    </xf>
    <xf numFmtId="49" fontId="4" fillId="3" borderId="1" xfId="0" applyNumberFormat="1" applyFont="1" applyFill="1" applyBorder="1" applyAlignment="1">
      <alignment horizontal="center" vertical="center"/>
    </xf>
    <xf numFmtId="49" fontId="4" fillId="3" borderId="1" xfId="0" applyNumberFormat="1" applyFont="1" applyFill="1" applyBorder="1" applyAlignment="1">
      <alignment horizontal="left" vertical="center"/>
    </xf>
    <xf numFmtId="49" fontId="8" fillId="3" borderId="0" xfId="0" applyNumberFormat="1" applyFont="1" applyFill="1" applyAlignment="1">
      <alignment vertical="center" wrapText="1"/>
    </xf>
    <xf numFmtId="0" fontId="0" fillId="3" borderId="0" xfId="0" applyFill="1">
      <alignment vertical="center"/>
    </xf>
    <xf numFmtId="0" fontId="9" fillId="3" borderId="0" xfId="0" applyFont="1" applyFill="1">
      <alignment vertical="center"/>
    </xf>
    <xf numFmtId="0" fontId="9" fillId="2" borderId="1" xfId="0" applyFont="1" applyFill="1" applyBorder="1" applyAlignment="1">
      <alignment horizontal="center" vertical="center"/>
    </xf>
    <xf numFmtId="176"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177" fontId="4" fillId="3" borderId="1" xfId="0" applyNumberFormat="1" applyFont="1" applyFill="1" applyBorder="1" applyAlignment="1">
      <alignment horizontal="center" vertical="center"/>
    </xf>
    <xf numFmtId="177" fontId="4" fillId="0" borderId="1" xfId="0" applyNumberFormat="1" applyFont="1" applyBorder="1" applyAlignment="1">
      <alignment horizontal="center" vertical="center"/>
    </xf>
    <xf numFmtId="49" fontId="4" fillId="3" borderId="1" xfId="0" applyNumberFormat="1" applyFont="1" applyFill="1" applyBorder="1" applyAlignment="1">
      <alignment horizontal="left" vertical="top" wrapText="1"/>
    </xf>
    <xf numFmtId="49" fontId="4" fillId="3" borderId="5" xfId="0" applyNumberFormat="1" applyFont="1" applyFill="1" applyBorder="1" applyAlignment="1">
      <alignment horizontal="center" vertical="center"/>
    </xf>
    <xf numFmtId="49" fontId="4" fillId="3" borderId="1" xfId="0" applyNumberFormat="1" applyFont="1" applyFill="1" applyBorder="1" applyAlignment="1">
      <alignment horizontal="left" vertical="center" wrapText="1"/>
    </xf>
    <xf numFmtId="49" fontId="4" fillId="3" borderId="1" xfId="0" applyNumberFormat="1" applyFont="1" applyFill="1" applyBorder="1" applyAlignment="1">
      <alignment vertical="center" wrapText="1"/>
    </xf>
    <xf numFmtId="49" fontId="4" fillId="3" borderId="5" xfId="0" applyNumberFormat="1" applyFont="1" applyFill="1" applyBorder="1" applyAlignment="1">
      <alignment horizontal="center" vertical="center" wrapText="1"/>
    </xf>
    <xf numFmtId="0" fontId="4" fillId="4" borderId="0" xfId="0" applyFont="1" applyFill="1" applyAlignment="1">
      <alignment horizontal="center" vertical="center"/>
    </xf>
    <xf numFmtId="49" fontId="4" fillId="4" borderId="0" xfId="0" applyNumberFormat="1" applyFont="1" applyFill="1" applyAlignment="1">
      <alignment horizontal="left" vertical="top"/>
    </xf>
    <xf numFmtId="49" fontId="4" fillId="4" borderId="0" xfId="0" applyNumberFormat="1" applyFont="1" applyFill="1">
      <alignment vertical="center"/>
    </xf>
    <xf numFmtId="49" fontId="4" fillId="4" borderId="0" xfId="0" applyNumberFormat="1" applyFont="1" applyFill="1" applyAlignment="1">
      <alignment vertical="center" wrapText="1"/>
    </xf>
    <xf numFmtId="0" fontId="4" fillId="0" borderId="16" xfId="0" applyFont="1" applyBorder="1" applyAlignment="1">
      <alignment horizontal="center" vertical="center"/>
    </xf>
    <xf numFmtId="0" fontId="4" fillId="0" borderId="17" xfId="0" applyFont="1" applyBorder="1" applyAlignment="1">
      <alignment horizontal="center" vertical="center"/>
    </xf>
    <xf numFmtId="177" fontId="4" fillId="0" borderId="17" xfId="0" applyNumberFormat="1" applyFont="1" applyBorder="1" applyAlignment="1">
      <alignment horizontal="center" vertical="center"/>
    </xf>
    <xf numFmtId="0" fontId="4" fillId="3" borderId="17" xfId="0" applyFont="1" applyFill="1" applyBorder="1" applyAlignment="1">
      <alignment horizontal="center" vertical="center"/>
    </xf>
    <xf numFmtId="49" fontId="4" fillId="3" borderId="17" xfId="0" applyNumberFormat="1" applyFont="1" applyFill="1" applyBorder="1" applyAlignment="1">
      <alignment horizontal="left" vertical="top" wrapText="1"/>
    </xf>
    <xf numFmtId="49" fontId="4" fillId="3" borderId="18" xfId="0" applyNumberFormat="1" applyFont="1" applyFill="1" applyBorder="1" applyAlignment="1">
      <alignment horizontal="center" vertical="center"/>
    </xf>
    <xf numFmtId="49" fontId="4" fillId="3" borderId="17" xfId="0" applyNumberFormat="1" applyFont="1" applyFill="1" applyBorder="1">
      <alignment vertical="center"/>
    </xf>
    <xf numFmtId="49" fontId="4" fillId="3" borderId="19" xfId="0" applyNumberFormat="1" applyFont="1" applyFill="1" applyBorder="1" applyAlignment="1">
      <alignment vertical="center" wrapText="1"/>
    </xf>
    <xf numFmtId="0" fontId="4" fillId="0" borderId="12" xfId="0" applyFont="1" applyBorder="1" applyAlignment="1">
      <alignment horizontal="center" vertical="center"/>
    </xf>
    <xf numFmtId="49" fontId="4" fillId="3" borderId="13" xfId="0" applyNumberFormat="1" applyFont="1" applyFill="1" applyBorder="1" applyAlignment="1">
      <alignment vertical="center" wrapText="1"/>
    </xf>
    <xf numFmtId="49" fontId="4" fillId="3" borderId="18" xfId="0" applyNumberFormat="1" applyFont="1" applyFill="1" applyBorder="1" applyAlignment="1">
      <alignment horizontal="center" vertical="center" wrapText="1"/>
    </xf>
    <xf numFmtId="49" fontId="4" fillId="3" borderId="17" xfId="0" applyNumberFormat="1" applyFont="1" applyFill="1" applyBorder="1" applyAlignment="1">
      <alignment horizontal="left" vertical="center" wrapText="1"/>
    </xf>
    <xf numFmtId="49" fontId="4" fillId="3" borderId="17" xfId="0" applyNumberFormat="1" applyFont="1" applyFill="1" applyBorder="1" applyAlignment="1">
      <alignment vertical="center" wrapText="1"/>
    </xf>
    <xf numFmtId="49" fontId="0" fillId="4" borderId="0" xfId="0" applyNumberFormat="1" applyFill="1" applyAlignment="1">
      <alignment horizontal="left" vertical="center"/>
    </xf>
    <xf numFmtId="49" fontId="0" fillId="4" borderId="0" xfId="0" applyNumberFormat="1" applyFill="1">
      <alignment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49" fontId="7" fillId="3" borderId="17" xfId="0" applyNumberFormat="1" applyFont="1" applyFill="1" applyBorder="1" applyAlignment="1">
      <alignment horizontal="left" vertical="center" wrapText="1"/>
    </xf>
    <xf numFmtId="49" fontId="7" fillId="3" borderId="17" xfId="0" applyNumberFormat="1" applyFont="1" applyFill="1" applyBorder="1" applyAlignment="1">
      <alignment horizontal="center" vertical="center"/>
    </xf>
    <xf numFmtId="49" fontId="0" fillId="3" borderId="17" xfId="0" applyNumberFormat="1" applyFill="1" applyBorder="1" applyAlignment="1">
      <alignment horizontal="center" vertical="center"/>
    </xf>
    <xf numFmtId="49" fontId="0" fillId="3" borderId="19" xfId="0" applyNumberFormat="1" applyFill="1" applyBorder="1" applyAlignment="1">
      <alignment horizontal="center" vertical="center"/>
    </xf>
    <xf numFmtId="0" fontId="4" fillId="4" borderId="14" xfId="0" applyFont="1" applyFill="1" applyBorder="1" applyAlignment="1">
      <alignment horizontal="center" vertical="center"/>
    </xf>
    <xf numFmtId="49" fontId="4" fillId="4" borderId="0" xfId="0" applyNumberFormat="1" applyFont="1" applyFill="1" applyAlignment="1">
      <alignment horizontal="left" vertical="top" wrapText="1"/>
    </xf>
    <xf numFmtId="49" fontId="4" fillId="3" borderId="19" xfId="0" applyNumberFormat="1" applyFont="1" applyFill="1" applyBorder="1" applyAlignment="1">
      <alignment horizontal="left" vertical="center" wrapText="1"/>
    </xf>
    <xf numFmtId="0" fontId="9" fillId="0" borderId="5" xfId="0" applyFont="1" applyBorder="1" applyAlignment="1">
      <alignment horizontal="center" vertical="center"/>
    </xf>
    <xf numFmtId="0" fontId="9" fillId="0" borderId="1" xfId="0" applyFont="1" applyBorder="1" applyAlignment="1">
      <alignment horizontal="center" vertical="center"/>
    </xf>
    <xf numFmtId="49" fontId="8" fillId="3" borderId="0" xfId="0" applyNumberFormat="1" applyFont="1" applyFill="1" applyAlignment="1">
      <alignment horizontal="center" vertical="center" wrapText="1"/>
    </xf>
    <xf numFmtId="49" fontId="8" fillId="3" borderId="6" xfId="0" applyNumberFormat="1" applyFont="1" applyFill="1" applyBorder="1" applyAlignment="1">
      <alignment horizontal="center" vertical="center" wrapText="1"/>
    </xf>
    <xf numFmtId="0" fontId="9" fillId="0" borderId="4" xfId="0" applyFont="1" applyBorder="1" applyAlignment="1">
      <alignment horizontal="center" vertical="center"/>
    </xf>
    <xf numFmtId="0" fontId="9" fillId="0" borderId="7" xfId="0" applyFont="1" applyBorder="1" applyAlignment="1">
      <alignment horizontal="center" vertical="center"/>
    </xf>
    <xf numFmtId="0" fontId="9" fillId="0" borderId="4" xfId="0" applyFont="1" applyBorder="1" applyAlignment="1">
      <alignment horizontal="center" vertical="center" wrapText="1"/>
    </xf>
    <xf numFmtId="0" fontId="9" fillId="0" borderId="7" xfId="0" applyFont="1" applyBorder="1" applyAlignment="1">
      <alignment horizontal="center" vertical="center" wrapText="1"/>
    </xf>
    <xf numFmtId="0" fontId="9" fillId="0" borderId="5" xfId="0" applyFont="1" applyBorder="1" applyAlignment="1">
      <alignment horizontal="center" vertical="center" wrapText="1"/>
    </xf>
    <xf numFmtId="0" fontId="4" fillId="0" borderId="15" xfId="0" applyFont="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center" vertical="center"/>
    </xf>
    <xf numFmtId="0" fontId="4" fillId="0" borderId="23" xfId="0" applyFont="1" applyBorder="1" applyAlignment="1">
      <alignment horizontal="center" vertical="center"/>
    </xf>
    <xf numFmtId="49" fontId="7" fillId="2" borderId="25" xfId="0" applyNumberFormat="1" applyFont="1" applyFill="1" applyBorder="1" applyAlignment="1">
      <alignment horizontal="center" vertical="center"/>
    </xf>
    <xf numFmtId="49" fontId="7" fillId="2" borderId="1" xfId="0" applyNumberFormat="1" applyFont="1" applyFill="1" applyBorder="1" applyAlignment="1">
      <alignment horizontal="center" vertical="center"/>
    </xf>
    <xf numFmtId="49" fontId="7" fillId="2" borderId="27" xfId="0" applyNumberFormat="1" applyFont="1" applyFill="1" applyBorder="1" applyAlignment="1">
      <alignment horizontal="center" vertical="center" wrapText="1"/>
    </xf>
    <xf numFmtId="49" fontId="7" fillId="2" borderId="13" xfId="0" applyNumberFormat="1" applyFont="1" applyFill="1" applyBorder="1" applyAlignment="1">
      <alignment horizontal="center" vertical="center" wrapText="1"/>
    </xf>
    <xf numFmtId="0" fontId="7" fillId="2" borderId="24"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25"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26" xfId="0" applyFont="1" applyFill="1" applyBorder="1" applyAlignment="1">
      <alignment horizontal="center" vertical="center"/>
    </xf>
    <xf numFmtId="0" fontId="7" fillId="2" borderId="3" xfId="0" applyFont="1" applyFill="1" applyBorder="1" applyAlignment="1">
      <alignment horizontal="center" vertical="center"/>
    </xf>
    <xf numFmtId="49" fontId="7" fillId="2" borderId="26" xfId="0" applyNumberFormat="1" applyFont="1" applyFill="1" applyBorder="1" applyAlignment="1">
      <alignment horizontal="center" vertical="center"/>
    </xf>
    <xf numFmtId="49" fontId="7" fillId="2" borderId="3" xfId="0" applyNumberFormat="1" applyFont="1" applyFill="1" applyBorder="1" applyAlignment="1">
      <alignment horizontal="center" vertical="center"/>
    </xf>
    <xf numFmtId="0" fontId="6"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2" borderId="27"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49" fontId="4" fillId="0" borderId="1" xfId="0" applyNumberFormat="1" applyFont="1" applyBorder="1" applyAlignment="1">
      <alignment horizontal="left" vertical="center"/>
    </xf>
    <xf numFmtId="49" fontId="4" fillId="0" borderId="13" xfId="0" applyNumberFormat="1" applyFont="1" applyBorder="1" applyAlignment="1">
      <alignment horizontal="left" vertical="center"/>
    </xf>
    <xf numFmtId="0" fontId="3"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3" fillId="2" borderId="17" xfId="0" applyFont="1" applyFill="1" applyBorder="1" applyAlignment="1">
      <alignment horizontal="center" vertical="center" wrapText="1"/>
    </xf>
    <xf numFmtId="177" fontId="4" fillId="0" borderId="17" xfId="0" applyNumberFormat="1" applyFont="1" applyBorder="1" applyAlignment="1">
      <alignment horizontal="left" vertical="center"/>
    </xf>
    <xf numFmtId="177" fontId="4" fillId="0" borderId="19" xfId="0" applyNumberFormat="1" applyFont="1" applyBorder="1" applyAlignment="1">
      <alignment horizontal="left" vertical="center"/>
    </xf>
    <xf numFmtId="0" fontId="4" fillId="0" borderId="20" xfId="0" applyFont="1" applyBorder="1" applyAlignment="1">
      <alignment horizontal="center" vertical="center"/>
    </xf>
    <xf numFmtId="0" fontId="4" fillId="0" borderId="3" xfId="0" applyFont="1" applyBorder="1" applyAlignment="1">
      <alignment horizontal="center" vertical="center"/>
    </xf>
    <xf numFmtId="0" fontId="4" fillId="0" borderId="21" xfId="0" applyFont="1" applyBorder="1" applyAlignment="1">
      <alignment horizontal="center" vertical="center"/>
    </xf>
    <xf numFmtId="0" fontId="4" fillId="0" borderId="8" xfId="0" applyFont="1" applyBorder="1" applyAlignment="1">
      <alignment horizontal="center" vertical="center"/>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3" xfId="0" applyFont="1" applyBorder="1" applyAlignment="1">
      <alignment horizontal="left" vertical="center"/>
    </xf>
  </cellXfs>
  <cellStyles count="1">
    <cellStyle name="표준" xfId="0" builtinId="0"/>
  </cellStyles>
  <dxfs count="0"/>
  <tableStyles count="0" defaultTableStyle="TableStyleMedium2" defaultPivotStyle="PivotStyleLight16"/>
  <colors>
    <mruColors>
      <color rgb="FFCCECFF"/>
      <color rgb="FF99CCFF"/>
      <color rgb="FFFFFFCC"/>
      <color rgb="FFFFFF99"/>
      <color rgb="FFFF99FF"/>
      <color rgb="FFFFCC66"/>
      <color rgb="FFFF66CC"/>
      <color rgb="FFFECE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istrator\Desktop\&#49900;&#54868;&#44368;&#50977;&#44053;&#51032;\&#47700;&#51064;&#54532;&#47196;&#51229;&#53944;\&#49328;&#52636;&#47932;\&#49900;&#54868;_&#47700;&#51064;_&#50836;&#44396;&#49324;&#54637;&#51221;&#51032;&#49436;_&#51652;&#54665;.xlsx" TargetMode="External"/><Relationship Id="rId1" Type="http://schemas.openxmlformats.org/officeDocument/2006/relationships/externalLinkPath" Target="&#49900;&#54868;_&#47700;&#51064;_&#50836;&#44396;&#49324;&#54637;&#51221;&#51032;&#49436;_&#51652;&#5466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개요"/>
      <sheetName val="개정이력"/>
      <sheetName val="MAIN"/>
      <sheetName val="TEAM"/>
      <sheetName val="UM"/>
      <sheetName val="DM"/>
      <sheetName val="DI"/>
      <sheetName val="USER"/>
    </sheetNames>
    <sheetDataSet>
      <sheetData sheetId="0" refreshError="1"/>
      <sheetData sheetId="1">
        <row r="5">
          <cell r="F5">
            <v>1</v>
          </cell>
          <cell r="G5">
            <v>45966</v>
          </cell>
        </row>
        <row r="6">
          <cell r="F6">
            <v>1.1000000000000001</v>
          </cell>
          <cell r="G6">
            <v>45967</v>
          </cell>
        </row>
        <row r="7">
          <cell r="F7">
            <v>1.2000000000000002</v>
          </cell>
          <cell r="G7">
            <v>45973</v>
          </cell>
        </row>
        <row r="8">
          <cell r="F8">
            <v>1.3000000000000003</v>
          </cell>
          <cell r="G8">
            <v>45985</v>
          </cell>
        </row>
        <row r="9">
          <cell r="F9">
            <v>1.4000000000000004</v>
          </cell>
          <cell r="G9">
            <v>45988</v>
          </cell>
        </row>
      </sheetData>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D9EE0-500C-4F41-B12C-3E9D18036712}">
  <dimension ref="E1:J11"/>
  <sheetViews>
    <sheetView workbookViewId="0">
      <selection activeCell="G7" sqref="G7:I7"/>
    </sheetView>
  </sheetViews>
  <sheetFormatPr defaultRowHeight="16.5" x14ac:dyDescent="0.3"/>
  <cols>
    <col min="1" max="4" width="9" style="9"/>
    <col min="5" max="5" width="12.25" style="9" customWidth="1"/>
    <col min="6" max="6" width="22.75" style="9" customWidth="1"/>
    <col min="7" max="7" width="11.625" style="9" customWidth="1"/>
    <col min="8" max="8" width="17.375" style="9" customWidth="1"/>
    <col min="9" max="9" width="94.125" style="9" customWidth="1"/>
    <col min="10" max="10" width="11.75" style="9" customWidth="1"/>
    <col min="11" max="16384" width="9" style="9"/>
  </cols>
  <sheetData>
    <row r="1" spans="5:10" ht="16.5" customHeight="1" x14ac:dyDescent="0.3">
      <c r="E1" s="14"/>
      <c r="F1" s="57" t="s">
        <v>30</v>
      </c>
      <c r="G1" s="57"/>
      <c r="H1" s="57"/>
      <c r="I1" s="57"/>
      <c r="J1" s="14"/>
    </row>
    <row r="2" spans="5:10" ht="16.5" customHeight="1" x14ac:dyDescent="0.3">
      <c r="E2" s="14"/>
      <c r="F2" s="57"/>
      <c r="G2" s="57"/>
      <c r="H2" s="57"/>
      <c r="I2" s="57"/>
      <c r="J2" s="14"/>
    </row>
    <row r="3" spans="5:10" ht="16.5" customHeight="1" x14ac:dyDescent="0.3">
      <c r="E3" s="14"/>
      <c r="F3" s="57"/>
      <c r="G3" s="58"/>
      <c r="H3" s="58"/>
      <c r="I3" s="58"/>
      <c r="J3" s="14"/>
    </row>
    <row r="4" spans="5:10" ht="45" customHeight="1" x14ac:dyDescent="0.3">
      <c r="E4" s="16"/>
      <c r="F4" s="17" t="s">
        <v>42</v>
      </c>
      <c r="G4" s="55" t="s">
        <v>43</v>
      </c>
      <c r="H4" s="56"/>
      <c r="I4" s="56"/>
      <c r="J4" s="16"/>
    </row>
    <row r="5" spans="5:10" ht="45" customHeight="1" x14ac:dyDescent="0.3">
      <c r="E5" s="16"/>
      <c r="F5" s="17" t="s">
        <v>41</v>
      </c>
      <c r="G5" s="55" t="s">
        <v>36</v>
      </c>
      <c r="H5" s="56"/>
      <c r="I5" s="56"/>
      <c r="J5" s="16"/>
    </row>
    <row r="6" spans="5:10" ht="45.75" customHeight="1" x14ac:dyDescent="0.3">
      <c r="E6" s="16"/>
      <c r="F6" s="17" t="s">
        <v>37</v>
      </c>
      <c r="G6" s="61" t="s">
        <v>38</v>
      </c>
      <c r="H6" s="62"/>
      <c r="I6" s="63"/>
      <c r="J6" s="16"/>
    </row>
    <row r="7" spans="5:10" ht="45" customHeight="1" x14ac:dyDescent="0.3">
      <c r="E7" s="16"/>
      <c r="F7" s="17" t="s">
        <v>31</v>
      </c>
      <c r="G7" s="59" t="s">
        <v>34</v>
      </c>
      <c r="H7" s="60"/>
      <c r="I7" s="55"/>
      <c r="J7" s="16"/>
    </row>
    <row r="8" spans="5:10" ht="45" customHeight="1" x14ac:dyDescent="0.3">
      <c r="E8" s="16"/>
      <c r="F8" s="17" t="s">
        <v>32</v>
      </c>
      <c r="G8" s="55" t="s">
        <v>33</v>
      </c>
      <c r="H8" s="56"/>
      <c r="I8" s="56"/>
      <c r="J8" s="16"/>
    </row>
    <row r="9" spans="5:10" x14ac:dyDescent="0.3">
      <c r="E9" s="15"/>
      <c r="F9" s="15"/>
      <c r="G9" s="15"/>
      <c r="H9" s="15"/>
      <c r="I9" s="15"/>
      <c r="J9" s="15"/>
    </row>
    <row r="10" spans="5:10" x14ac:dyDescent="0.3">
      <c r="E10" s="15"/>
      <c r="F10" s="15"/>
      <c r="G10" s="15"/>
      <c r="H10" s="15"/>
      <c r="I10" s="15"/>
      <c r="J10" s="15"/>
    </row>
    <row r="11" spans="5:10" x14ac:dyDescent="0.3">
      <c r="E11" s="15"/>
      <c r="F11" s="15"/>
      <c r="G11" s="15"/>
      <c r="H11" s="15"/>
      <c r="I11" s="15"/>
      <c r="J11" s="15"/>
    </row>
  </sheetData>
  <mergeCells count="6">
    <mergeCell ref="G4:I4"/>
    <mergeCell ref="F1:I3"/>
    <mergeCell ref="G8:I8"/>
    <mergeCell ref="G7:I7"/>
    <mergeCell ref="G6:I6"/>
    <mergeCell ref="G5:I5"/>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F88C-553D-4767-BA88-AB6246EC01EA}">
  <dimension ref="D1:K35"/>
  <sheetViews>
    <sheetView topLeftCell="C1" workbookViewId="0">
      <selection activeCell="F9" sqref="F9"/>
    </sheetView>
  </sheetViews>
  <sheetFormatPr defaultRowHeight="16.5" x14ac:dyDescent="0.3"/>
  <cols>
    <col min="1" max="4" width="9" style="9"/>
    <col min="5" max="5" width="10" style="10" customWidth="1"/>
    <col min="6" max="6" width="13.875" style="10" customWidth="1"/>
    <col min="7" max="7" width="11.625" style="10" customWidth="1"/>
    <col min="8" max="8" width="17.375" style="10" customWidth="1"/>
    <col min="9" max="9" width="94.125" style="11" customWidth="1"/>
    <col min="10" max="10" width="11.75" style="10" customWidth="1"/>
    <col min="11" max="16384" width="9" style="9"/>
  </cols>
  <sheetData>
    <row r="1" spans="4:11" ht="16.5" customHeight="1" x14ac:dyDescent="0.3">
      <c r="D1" s="15"/>
      <c r="E1" s="57" t="s">
        <v>22</v>
      </c>
      <c r="F1" s="57"/>
      <c r="G1" s="57"/>
      <c r="H1" s="57"/>
      <c r="I1" s="57"/>
      <c r="J1" s="57"/>
      <c r="K1" s="15"/>
    </row>
    <row r="2" spans="4:11" ht="16.5" customHeight="1" x14ac:dyDescent="0.3">
      <c r="D2" s="15"/>
      <c r="E2" s="57"/>
      <c r="F2" s="57"/>
      <c r="G2" s="57"/>
      <c r="H2" s="57"/>
      <c r="I2" s="57"/>
      <c r="J2" s="57"/>
      <c r="K2" s="15"/>
    </row>
    <row r="3" spans="4:11" x14ac:dyDescent="0.3">
      <c r="D3" s="15"/>
      <c r="E3" s="58"/>
      <c r="F3" s="58"/>
      <c r="G3" s="58"/>
      <c r="H3" s="58"/>
      <c r="I3" s="58"/>
      <c r="J3" s="58"/>
      <c r="K3" s="15"/>
    </row>
    <row r="4" spans="4:11" ht="16.5" customHeight="1" x14ac:dyDescent="0.3">
      <c r="D4" s="15"/>
      <c r="E4" s="5" t="s">
        <v>23</v>
      </c>
      <c r="F4" s="6" t="s">
        <v>24</v>
      </c>
      <c r="G4" s="5" t="s">
        <v>25</v>
      </c>
      <c r="H4" s="5" t="s">
        <v>26</v>
      </c>
      <c r="I4" s="5" t="s">
        <v>27</v>
      </c>
      <c r="J4" s="5" t="s">
        <v>2</v>
      </c>
      <c r="K4" s="15"/>
    </row>
    <row r="5" spans="4:11" x14ac:dyDescent="0.3">
      <c r="D5" s="15"/>
      <c r="E5" s="12">
        <v>1</v>
      </c>
      <c r="F5" s="18">
        <v>1</v>
      </c>
      <c r="G5" s="20">
        <v>45966</v>
      </c>
      <c r="H5" s="12" t="s">
        <v>28</v>
      </c>
      <c r="I5" s="13" t="s">
        <v>29</v>
      </c>
      <c r="J5" s="12" t="s">
        <v>3</v>
      </c>
      <c r="K5" s="15"/>
    </row>
    <row r="6" spans="4:11" x14ac:dyDescent="0.3">
      <c r="D6" s="15"/>
      <c r="E6" s="12">
        <f>SUM(E5,1)</f>
        <v>2</v>
      </c>
      <c r="F6" s="18">
        <f>F5 + 0.1</f>
        <v>1.1000000000000001</v>
      </c>
      <c r="G6" s="20">
        <v>45967</v>
      </c>
      <c r="H6" s="12" t="s">
        <v>45</v>
      </c>
      <c r="I6" s="13" t="s">
        <v>46</v>
      </c>
      <c r="J6" s="12" t="s">
        <v>3</v>
      </c>
      <c r="K6" s="15"/>
    </row>
    <row r="7" spans="4:11" x14ac:dyDescent="0.3">
      <c r="D7" s="15"/>
      <c r="E7" s="12">
        <f>SUM(E6,1)</f>
        <v>3</v>
      </c>
      <c r="F7" s="18">
        <f>F6 + 0.1</f>
        <v>1.2000000000000002</v>
      </c>
      <c r="G7" s="20">
        <v>45973</v>
      </c>
      <c r="H7" s="12" t="s">
        <v>82</v>
      </c>
      <c r="I7" s="13" t="s">
        <v>83</v>
      </c>
      <c r="J7" s="12" t="s">
        <v>3</v>
      </c>
      <c r="K7" s="15"/>
    </row>
    <row r="8" spans="4:11" x14ac:dyDescent="0.3">
      <c r="D8" s="15"/>
      <c r="E8" s="12">
        <f>SUM(E7,1)</f>
        <v>4</v>
      </c>
      <c r="F8" s="18">
        <f>F7 + 0.1</f>
        <v>1.3000000000000003</v>
      </c>
      <c r="G8" s="20">
        <v>45985</v>
      </c>
      <c r="H8" s="12" t="s">
        <v>115</v>
      </c>
      <c r="I8" s="13" t="s">
        <v>119</v>
      </c>
      <c r="J8" s="12" t="s">
        <v>3</v>
      </c>
      <c r="K8" s="15"/>
    </row>
    <row r="9" spans="4:11" x14ac:dyDescent="0.3">
      <c r="D9" s="15"/>
      <c r="E9" s="12">
        <f>SUM(E8,1)</f>
        <v>5</v>
      </c>
      <c r="F9" s="18">
        <f>F8 + 0.1</f>
        <v>1.4000000000000004</v>
      </c>
      <c r="G9" s="20">
        <v>45988</v>
      </c>
      <c r="H9" s="12" t="s">
        <v>121</v>
      </c>
      <c r="I9" s="13" t="s">
        <v>122</v>
      </c>
      <c r="J9" s="12" t="s">
        <v>3</v>
      </c>
      <c r="K9" s="15"/>
    </row>
    <row r="10" spans="4:11" x14ac:dyDescent="0.3">
      <c r="D10" s="15"/>
      <c r="E10" s="12"/>
      <c r="F10" s="18"/>
      <c r="G10" s="20"/>
      <c r="H10" s="12"/>
      <c r="I10" s="13"/>
      <c r="J10" s="12"/>
      <c r="K10" s="15"/>
    </row>
    <row r="11" spans="4:11" x14ac:dyDescent="0.3">
      <c r="D11" s="15"/>
      <c r="E11" s="12"/>
      <c r="F11" s="18"/>
      <c r="G11" s="20"/>
      <c r="H11" s="12"/>
      <c r="I11" s="13"/>
      <c r="J11" s="12"/>
      <c r="K11" s="15"/>
    </row>
    <row r="12" spans="4:11" x14ac:dyDescent="0.3">
      <c r="D12" s="15"/>
      <c r="E12" s="12"/>
      <c r="F12" s="18"/>
      <c r="G12" s="20"/>
      <c r="H12" s="12"/>
      <c r="I12" s="13"/>
      <c r="J12" s="12"/>
      <c r="K12" s="15"/>
    </row>
    <row r="13" spans="4:11" x14ac:dyDescent="0.3">
      <c r="D13" s="15"/>
      <c r="E13" s="12"/>
      <c r="F13" s="18"/>
      <c r="G13" s="20"/>
      <c r="H13" s="12"/>
      <c r="I13" s="13"/>
      <c r="J13" s="12"/>
      <c r="K13" s="15"/>
    </row>
    <row r="14" spans="4:11" x14ac:dyDescent="0.3">
      <c r="D14" s="15"/>
      <c r="E14" s="12"/>
      <c r="F14" s="18"/>
      <c r="G14" s="20"/>
      <c r="H14" s="12"/>
      <c r="I14" s="13"/>
      <c r="J14" s="12"/>
      <c r="K14" s="15"/>
    </row>
    <row r="15" spans="4:11" x14ac:dyDescent="0.3">
      <c r="D15" s="15"/>
      <c r="E15" s="12"/>
      <c r="F15" s="18"/>
      <c r="G15" s="20"/>
      <c r="H15" s="12"/>
      <c r="I15" s="13"/>
      <c r="J15" s="12"/>
      <c r="K15" s="15"/>
    </row>
    <row r="16" spans="4:11" x14ac:dyDescent="0.3">
      <c r="D16" s="15"/>
      <c r="E16" s="12"/>
      <c r="F16" s="18"/>
      <c r="G16" s="20"/>
      <c r="H16" s="12"/>
      <c r="I16" s="13"/>
      <c r="J16" s="12"/>
      <c r="K16" s="15"/>
    </row>
    <row r="17" spans="4:11" x14ac:dyDescent="0.3">
      <c r="D17" s="15"/>
      <c r="E17" s="12"/>
      <c r="F17" s="18"/>
      <c r="G17" s="20"/>
      <c r="H17" s="12"/>
      <c r="I17" s="13"/>
      <c r="J17" s="12"/>
      <c r="K17" s="15"/>
    </row>
    <row r="18" spans="4:11" x14ac:dyDescent="0.3">
      <c r="D18" s="15"/>
      <c r="E18" s="12"/>
      <c r="F18" s="18"/>
      <c r="G18" s="20"/>
      <c r="H18" s="12"/>
      <c r="I18" s="13"/>
      <c r="J18" s="12"/>
      <c r="K18" s="15"/>
    </row>
    <row r="19" spans="4:11" x14ac:dyDescent="0.3">
      <c r="D19" s="15"/>
      <c r="E19" s="12"/>
      <c r="F19" s="18"/>
      <c r="G19" s="20"/>
      <c r="H19" s="12"/>
      <c r="I19" s="13"/>
      <c r="J19" s="12"/>
      <c r="K19" s="15"/>
    </row>
    <row r="20" spans="4:11" x14ac:dyDescent="0.3">
      <c r="D20" s="15"/>
      <c r="E20" s="12"/>
      <c r="F20" s="18"/>
      <c r="G20" s="20"/>
      <c r="H20" s="12"/>
      <c r="I20" s="13"/>
      <c r="J20" s="12"/>
      <c r="K20" s="15"/>
    </row>
    <row r="21" spans="4:11" x14ac:dyDescent="0.3">
      <c r="D21" s="15"/>
      <c r="E21" s="12"/>
      <c r="F21" s="18"/>
      <c r="G21" s="20"/>
      <c r="H21" s="12"/>
      <c r="I21" s="13"/>
      <c r="J21" s="12"/>
      <c r="K21" s="15"/>
    </row>
    <row r="22" spans="4:11" x14ac:dyDescent="0.3">
      <c r="D22" s="15"/>
      <c r="E22" s="12"/>
      <c r="F22" s="18"/>
      <c r="G22" s="20"/>
      <c r="H22" s="12"/>
      <c r="I22" s="13"/>
      <c r="J22" s="12"/>
      <c r="K22" s="15"/>
    </row>
    <row r="23" spans="4:11" x14ac:dyDescent="0.3">
      <c r="D23" s="15"/>
      <c r="E23" s="12"/>
      <c r="F23" s="18"/>
      <c r="G23" s="20"/>
      <c r="H23" s="12"/>
      <c r="I23" s="13"/>
      <c r="J23" s="12"/>
      <c r="K23" s="15"/>
    </row>
    <row r="24" spans="4:11" x14ac:dyDescent="0.3">
      <c r="D24" s="15"/>
      <c r="E24" s="12"/>
      <c r="F24" s="18"/>
      <c r="G24" s="20"/>
      <c r="H24" s="12"/>
      <c r="I24" s="13"/>
      <c r="J24" s="12"/>
      <c r="K24" s="15"/>
    </row>
    <row r="25" spans="4:11" x14ac:dyDescent="0.3">
      <c r="D25" s="15"/>
      <c r="E25" s="12"/>
      <c r="F25" s="18"/>
      <c r="G25" s="20"/>
      <c r="H25" s="12"/>
      <c r="I25" s="13"/>
      <c r="J25" s="12"/>
      <c r="K25" s="15"/>
    </row>
    <row r="26" spans="4:11" x14ac:dyDescent="0.3">
      <c r="D26" s="15"/>
      <c r="E26" s="12"/>
      <c r="F26" s="18"/>
      <c r="G26" s="20"/>
      <c r="H26" s="12"/>
      <c r="I26" s="13"/>
      <c r="J26" s="12"/>
      <c r="K26" s="15"/>
    </row>
    <row r="27" spans="4:11" x14ac:dyDescent="0.3">
      <c r="D27" s="15"/>
      <c r="E27" s="12"/>
      <c r="F27" s="18"/>
      <c r="G27" s="20"/>
      <c r="H27" s="12"/>
      <c r="I27" s="13"/>
      <c r="J27" s="12"/>
      <c r="K27" s="15"/>
    </row>
    <row r="28" spans="4:11" x14ac:dyDescent="0.3">
      <c r="D28" s="15"/>
      <c r="E28" s="12"/>
      <c r="F28" s="18"/>
      <c r="G28" s="20"/>
      <c r="H28" s="12"/>
      <c r="I28" s="13"/>
      <c r="J28" s="12"/>
      <c r="K28" s="15"/>
    </row>
    <row r="29" spans="4:11" x14ac:dyDescent="0.3">
      <c r="D29" s="15"/>
      <c r="E29" s="12"/>
      <c r="F29" s="18"/>
      <c r="G29" s="20"/>
      <c r="H29" s="12"/>
      <c r="I29" s="13"/>
      <c r="J29" s="12"/>
      <c r="K29" s="15"/>
    </row>
    <row r="30" spans="4:11" x14ac:dyDescent="0.3">
      <c r="D30" s="15"/>
      <c r="E30" s="12"/>
      <c r="F30" s="18"/>
      <c r="G30" s="20"/>
      <c r="H30" s="12"/>
      <c r="I30" s="13"/>
      <c r="J30" s="12"/>
      <c r="K30" s="15"/>
    </row>
    <row r="31" spans="4:11" x14ac:dyDescent="0.3">
      <c r="D31" s="15"/>
      <c r="E31" s="12"/>
      <c r="F31" s="18"/>
      <c r="G31" s="20"/>
      <c r="H31" s="12"/>
      <c r="I31" s="13"/>
      <c r="J31" s="12"/>
      <c r="K31" s="15"/>
    </row>
    <row r="32" spans="4:11" x14ac:dyDescent="0.3">
      <c r="D32" s="15"/>
      <c r="E32" s="12"/>
      <c r="F32" s="18"/>
      <c r="G32" s="20"/>
      <c r="H32" s="12"/>
      <c r="I32" s="13"/>
      <c r="J32" s="12"/>
      <c r="K32" s="15"/>
    </row>
    <row r="33" spans="4:11" x14ac:dyDescent="0.3">
      <c r="D33" s="15"/>
      <c r="E33" s="7"/>
      <c r="F33" s="7"/>
      <c r="G33" s="7"/>
      <c r="H33" s="7"/>
      <c r="I33" s="8"/>
      <c r="J33" s="7"/>
      <c r="K33" s="15"/>
    </row>
    <row r="34" spans="4:11" x14ac:dyDescent="0.3">
      <c r="D34" s="15"/>
      <c r="E34" s="7"/>
      <c r="F34" s="7"/>
      <c r="G34" s="7"/>
      <c r="H34" s="7"/>
      <c r="I34" s="8"/>
      <c r="J34" s="7"/>
      <c r="K34" s="15"/>
    </row>
    <row r="35" spans="4:11" x14ac:dyDescent="0.3">
      <c r="D35" s="15"/>
      <c r="E35" s="7"/>
      <c r="F35" s="7"/>
      <c r="G35" s="7"/>
      <c r="H35" s="7"/>
      <c r="I35" s="8"/>
      <c r="J35" s="7"/>
      <c r="K35" s="15"/>
    </row>
  </sheetData>
  <mergeCells count="1">
    <mergeCell ref="E1:J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586E-882E-47AB-A6CC-D8E57A3347A5}">
  <dimension ref="A1:J13"/>
  <sheetViews>
    <sheetView workbookViewId="0">
      <selection activeCell="F8" sqref="F8"/>
    </sheetView>
  </sheetViews>
  <sheetFormatPr defaultRowHeight="16.5" x14ac:dyDescent="0.3"/>
  <cols>
    <col min="1" max="1" width="18.5" style="9" customWidth="1"/>
    <col min="2" max="2" width="17.75" style="9" customWidth="1"/>
    <col min="3" max="3" width="13.375" style="9" customWidth="1"/>
    <col min="4" max="4" width="31.75" style="9" customWidth="1"/>
    <col min="5" max="5" width="28.375" style="9" customWidth="1"/>
    <col min="6" max="6" width="82.125" style="44" customWidth="1"/>
    <col min="7" max="7" width="20.625" style="45" customWidth="1"/>
    <col min="8" max="8" width="26.25" style="45" customWidth="1"/>
    <col min="9" max="9" width="17.5" style="45" customWidth="1"/>
    <col min="10" max="10" width="8.125" style="45" customWidth="1"/>
    <col min="11" max="16384" width="9" style="9"/>
  </cols>
  <sheetData>
    <row r="1" spans="1:10" x14ac:dyDescent="0.3">
      <c r="A1" s="80" t="str">
        <f>_xlfn.CONCAT("요구사항 정의서 (Ver ", MAX([1]개정이력!F$5:F$32), ")")</f>
        <v>요구사항 정의서 (Ver 1.4)</v>
      </c>
      <c r="B1" s="81"/>
      <c r="C1" s="81"/>
      <c r="D1" s="81"/>
      <c r="E1" s="81"/>
      <c r="F1" s="81"/>
      <c r="G1" s="81"/>
      <c r="H1" s="81"/>
      <c r="I1" s="81"/>
      <c r="J1" s="82"/>
    </row>
    <row r="2" spans="1:10" x14ac:dyDescent="0.3">
      <c r="A2" s="83" t="s">
        <v>1</v>
      </c>
      <c r="B2" s="84"/>
      <c r="C2" s="2" t="s">
        <v>39</v>
      </c>
      <c r="D2" s="85" t="s">
        <v>4</v>
      </c>
      <c r="E2" s="84"/>
      <c r="F2" s="86" t="s">
        <v>123</v>
      </c>
      <c r="G2" s="86"/>
      <c r="H2" s="86"/>
      <c r="I2" s="86"/>
      <c r="J2" s="87"/>
    </row>
    <row r="3" spans="1:10" ht="17.25" thickBot="1" x14ac:dyDescent="0.35">
      <c r="A3" s="88" t="s">
        <v>2</v>
      </c>
      <c r="B3" s="89"/>
      <c r="C3" s="32" t="s">
        <v>3</v>
      </c>
      <c r="D3" s="90" t="s">
        <v>16</v>
      </c>
      <c r="E3" s="89"/>
      <c r="F3" s="91">
        <f>MAX([1]개정이력!G$5:G$32)</f>
        <v>45988</v>
      </c>
      <c r="G3" s="91"/>
      <c r="H3" s="91"/>
      <c r="I3" s="91"/>
      <c r="J3" s="92"/>
    </row>
    <row r="4" spans="1:10" ht="17.25" thickBot="1" x14ac:dyDescent="0.35">
      <c r="A4" s="52"/>
      <c r="B4" s="27"/>
      <c r="C4" s="27"/>
      <c r="D4" s="27"/>
      <c r="E4" s="27"/>
      <c r="F4" s="53"/>
      <c r="G4" s="10"/>
      <c r="H4" s="29"/>
      <c r="I4" s="29"/>
      <c r="J4" s="30"/>
    </row>
    <row r="5" spans="1:10" x14ac:dyDescent="0.3">
      <c r="A5" s="72" t="s">
        <v>6</v>
      </c>
      <c r="B5" s="74" t="s">
        <v>7</v>
      </c>
      <c r="C5" s="74" t="s">
        <v>8</v>
      </c>
      <c r="D5" s="76" t="s">
        <v>9</v>
      </c>
      <c r="E5" s="74" t="s">
        <v>5</v>
      </c>
      <c r="F5" s="74"/>
      <c r="G5" s="78" t="s">
        <v>20</v>
      </c>
      <c r="H5" s="68" t="s">
        <v>12</v>
      </c>
      <c r="I5" s="68" t="s">
        <v>13</v>
      </c>
      <c r="J5" s="70" t="s">
        <v>14</v>
      </c>
    </row>
    <row r="6" spans="1:10" x14ac:dyDescent="0.3">
      <c r="A6" s="73"/>
      <c r="B6" s="75"/>
      <c r="C6" s="75"/>
      <c r="D6" s="77"/>
      <c r="E6" s="1" t="s">
        <v>10</v>
      </c>
      <c r="F6" s="4" t="s">
        <v>11</v>
      </c>
      <c r="G6" s="79"/>
      <c r="H6" s="69"/>
      <c r="I6" s="69"/>
      <c r="J6" s="71"/>
    </row>
    <row r="7" spans="1:10" ht="81.75" customHeight="1" x14ac:dyDescent="0.3">
      <c r="A7" s="64" t="s">
        <v>141</v>
      </c>
      <c r="B7" s="66" t="s">
        <v>145</v>
      </c>
      <c r="C7" s="21">
        <f>MAX([1]개정이력!G$5:G$32)</f>
        <v>45988</v>
      </c>
      <c r="D7" s="19" t="s">
        <v>146</v>
      </c>
      <c r="E7" s="19" t="s">
        <v>143</v>
      </c>
      <c r="F7" s="22" t="s">
        <v>148</v>
      </c>
      <c r="G7" s="23" t="s">
        <v>142</v>
      </c>
      <c r="H7" s="24"/>
      <c r="I7" s="25"/>
      <c r="J7" s="40"/>
    </row>
    <row r="8" spans="1:10" ht="356.25" customHeight="1" thickBot="1" x14ac:dyDescent="0.35">
      <c r="A8" s="65"/>
      <c r="B8" s="67"/>
      <c r="C8" s="33">
        <f>MAX([1]개정이력!G$5:G$32)</f>
        <v>45988</v>
      </c>
      <c r="D8" s="34" t="s">
        <v>147</v>
      </c>
      <c r="E8" s="34" t="s">
        <v>144</v>
      </c>
      <c r="F8" s="35" t="s">
        <v>149</v>
      </c>
      <c r="G8" s="36" t="s">
        <v>129</v>
      </c>
      <c r="H8" s="42"/>
      <c r="I8" s="43"/>
      <c r="J8" s="38"/>
    </row>
    <row r="10" spans="1:10" x14ac:dyDescent="0.3">
      <c r="I10" s="9"/>
    </row>
    <row r="11" spans="1:10" x14ac:dyDescent="0.3">
      <c r="I11" s="9"/>
    </row>
    <row r="13" spans="1:10" x14ac:dyDescent="0.3">
      <c r="I13" s="9"/>
    </row>
  </sheetData>
  <mergeCells count="18">
    <mergeCell ref="A1:J1"/>
    <mergeCell ref="A2:B2"/>
    <mergeCell ref="D2:E2"/>
    <mergeCell ref="F2:J2"/>
    <mergeCell ref="A3:B3"/>
    <mergeCell ref="D3:E3"/>
    <mergeCell ref="F3:J3"/>
    <mergeCell ref="A7:A8"/>
    <mergeCell ref="B7:B8"/>
    <mergeCell ref="H5:H6"/>
    <mergeCell ref="I5:I6"/>
    <mergeCell ref="J5:J6"/>
    <mergeCell ref="A5:A6"/>
    <mergeCell ref="B5:B6"/>
    <mergeCell ref="C5:C6"/>
    <mergeCell ref="D5:D6"/>
    <mergeCell ref="E5:F5"/>
    <mergeCell ref="G5:G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CFEAF-ED96-4CCF-AFAA-6F9A7B8715F3}">
  <dimension ref="A1:J9"/>
  <sheetViews>
    <sheetView workbookViewId="0">
      <selection activeCell="D9" sqref="D9"/>
    </sheetView>
  </sheetViews>
  <sheetFormatPr defaultRowHeight="16.5" x14ac:dyDescent="0.3"/>
  <cols>
    <col min="1" max="1" width="18.5" style="9" customWidth="1"/>
    <col min="2" max="2" width="17.75" style="9" customWidth="1"/>
    <col min="3" max="3" width="13.375" style="9" customWidth="1"/>
    <col min="4" max="4" width="31.75" style="9" customWidth="1"/>
    <col min="5" max="5" width="28.375" style="9" customWidth="1"/>
    <col min="6" max="6" width="82.125" style="44" customWidth="1"/>
    <col min="7" max="7" width="20.625" style="45" customWidth="1"/>
    <col min="8" max="8" width="26.25" style="45" customWidth="1"/>
    <col min="9" max="9" width="17.5" style="45" customWidth="1"/>
    <col min="10" max="10" width="8.125" style="45" customWidth="1"/>
    <col min="11" max="16384" width="9" style="9"/>
  </cols>
  <sheetData>
    <row r="1" spans="1:10" x14ac:dyDescent="0.3">
      <c r="A1" s="80" t="str">
        <f>_xlfn.CONCAT("요구사항 정의서 (Ver ", MAX([1]개정이력!F$5:F$32), ")")</f>
        <v>요구사항 정의서 (Ver 1.4)</v>
      </c>
      <c r="B1" s="81"/>
      <c r="C1" s="81"/>
      <c r="D1" s="81"/>
      <c r="E1" s="81"/>
      <c r="F1" s="81"/>
      <c r="G1" s="81"/>
      <c r="H1" s="81"/>
      <c r="I1" s="81"/>
      <c r="J1" s="82"/>
    </row>
    <row r="2" spans="1:10" x14ac:dyDescent="0.3">
      <c r="A2" s="83" t="s">
        <v>1</v>
      </c>
      <c r="B2" s="84"/>
      <c r="C2" s="2" t="s">
        <v>39</v>
      </c>
      <c r="D2" s="85" t="s">
        <v>4</v>
      </c>
      <c r="E2" s="84"/>
      <c r="F2" s="86" t="s">
        <v>123</v>
      </c>
      <c r="G2" s="86"/>
      <c r="H2" s="86"/>
      <c r="I2" s="86"/>
      <c r="J2" s="87"/>
    </row>
    <row r="3" spans="1:10" ht="17.25" thickBot="1" x14ac:dyDescent="0.35">
      <c r="A3" s="88" t="s">
        <v>2</v>
      </c>
      <c r="B3" s="89"/>
      <c r="C3" s="32" t="s">
        <v>3</v>
      </c>
      <c r="D3" s="90" t="s">
        <v>16</v>
      </c>
      <c r="E3" s="89"/>
      <c r="F3" s="91">
        <f>MAX([1]개정이력!G$5:G$32)</f>
        <v>45988</v>
      </c>
      <c r="G3" s="91"/>
      <c r="H3" s="91"/>
      <c r="I3" s="91"/>
      <c r="J3" s="92"/>
    </row>
    <row r="4" spans="1:10" ht="17.25" thickBot="1" x14ac:dyDescent="0.35">
      <c r="A4" s="52"/>
      <c r="B4" s="27"/>
      <c r="C4" s="27"/>
      <c r="D4" s="27"/>
      <c r="E4" s="27"/>
      <c r="F4" s="53"/>
      <c r="G4" s="10"/>
      <c r="H4" s="29"/>
      <c r="I4" s="29"/>
      <c r="J4" s="30"/>
    </row>
    <row r="5" spans="1:10" x14ac:dyDescent="0.3">
      <c r="A5" s="72" t="s">
        <v>6</v>
      </c>
      <c r="B5" s="74" t="s">
        <v>7</v>
      </c>
      <c r="C5" s="74" t="s">
        <v>8</v>
      </c>
      <c r="D5" s="76" t="s">
        <v>9</v>
      </c>
      <c r="E5" s="74" t="s">
        <v>5</v>
      </c>
      <c r="F5" s="74"/>
      <c r="G5" s="78" t="s">
        <v>20</v>
      </c>
      <c r="H5" s="68" t="s">
        <v>12</v>
      </c>
      <c r="I5" s="68" t="s">
        <v>13</v>
      </c>
      <c r="J5" s="70" t="s">
        <v>14</v>
      </c>
    </row>
    <row r="6" spans="1:10" x14ac:dyDescent="0.3">
      <c r="A6" s="73"/>
      <c r="B6" s="75"/>
      <c r="C6" s="75"/>
      <c r="D6" s="77"/>
      <c r="E6" s="1" t="s">
        <v>10</v>
      </c>
      <c r="F6" s="4" t="s">
        <v>11</v>
      </c>
      <c r="G6" s="79"/>
      <c r="H6" s="69"/>
      <c r="I6" s="69"/>
      <c r="J6" s="71"/>
    </row>
    <row r="7" spans="1:10" ht="82.5" x14ac:dyDescent="0.3">
      <c r="A7" s="64" t="s">
        <v>124</v>
      </c>
      <c r="B7" s="66" t="s">
        <v>125</v>
      </c>
      <c r="C7" s="21">
        <f>MAX([1]개정이력!G$5:G$32)</f>
        <v>45988</v>
      </c>
      <c r="D7" s="19" t="s">
        <v>126</v>
      </c>
      <c r="E7" s="19" t="s">
        <v>127</v>
      </c>
      <c r="F7" s="22" t="s">
        <v>128</v>
      </c>
      <c r="G7" s="23" t="s">
        <v>129</v>
      </c>
      <c r="H7" s="24"/>
      <c r="I7" s="25"/>
      <c r="J7" s="40"/>
    </row>
    <row r="8" spans="1:10" ht="99" x14ac:dyDescent="0.3">
      <c r="A8" s="93"/>
      <c r="B8" s="94"/>
      <c r="C8" s="21">
        <f>MAX([1]개정이력!G$5:G$32)</f>
        <v>45988</v>
      </c>
      <c r="D8" s="19" t="s">
        <v>130</v>
      </c>
      <c r="E8" s="19" t="s">
        <v>131</v>
      </c>
      <c r="F8" s="22" t="s">
        <v>132</v>
      </c>
      <c r="G8" s="23" t="s">
        <v>129</v>
      </c>
      <c r="H8" s="24" t="s">
        <v>133</v>
      </c>
      <c r="I8" s="25"/>
      <c r="J8" s="40"/>
    </row>
    <row r="9" spans="1:10" ht="99.75" thickBot="1" x14ac:dyDescent="0.35">
      <c r="A9" s="31" t="s">
        <v>134</v>
      </c>
      <c r="B9" s="32" t="s">
        <v>135</v>
      </c>
      <c r="C9" s="33">
        <f>MAX([1]개정이력!G$5:G$32)</f>
        <v>45988</v>
      </c>
      <c r="D9" s="34" t="s">
        <v>136</v>
      </c>
      <c r="E9" s="34" t="s">
        <v>137</v>
      </c>
      <c r="F9" s="35" t="s">
        <v>138</v>
      </c>
      <c r="G9" s="36" t="s">
        <v>139</v>
      </c>
      <c r="H9" s="42" t="s">
        <v>140</v>
      </c>
      <c r="I9" s="43" t="s">
        <v>51</v>
      </c>
      <c r="J9" s="38"/>
    </row>
  </sheetData>
  <mergeCells count="18">
    <mergeCell ref="A1:J1"/>
    <mergeCell ref="A2:B2"/>
    <mergeCell ref="D2:E2"/>
    <mergeCell ref="F2:J2"/>
    <mergeCell ref="A3:B3"/>
    <mergeCell ref="D3:E3"/>
    <mergeCell ref="F3:J3"/>
    <mergeCell ref="H5:H6"/>
    <mergeCell ref="I5:I6"/>
    <mergeCell ref="J5:J6"/>
    <mergeCell ref="A7:A8"/>
    <mergeCell ref="B7:B8"/>
    <mergeCell ref="A5:A6"/>
    <mergeCell ref="B5:B6"/>
    <mergeCell ref="C5:C6"/>
    <mergeCell ref="D5:D6"/>
    <mergeCell ref="E5:F5"/>
    <mergeCell ref="G5:G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2D5D6-83AF-4759-B921-2D14728226F4}">
  <dimension ref="A1:J13"/>
  <sheetViews>
    <sheetView topLeftCell="A2" zoomScale="85" zoomScaleNormal="85" workbookViewId="0">
      <selection activeCell="F9" sqref="F9"/>
    </sheetView>
  </sheetViews>
  <sheetFormatPr defaultRowHeight="16.5" x14ac:dyDescent="0.3"/>
  <cols>
    <col min="1" max="1" width="18.5" style="9" customWidth="1"/>
    <col min="2" max="2" width="17.75" style="9" customWidth="1"/>
    <col min="3" max="3" width="13.375" style="9" customWidth="1"/>
    <col min="4" max="4" width="31.75" style="9" customWidth="1"/>
    <col min="5" max="5" width="28.375" style="9" customWidth="1"/>
    <col min="6" max="6" width="82.125" style="44" customWidth="1"/>
    <col min="7" max="7" width="20.625" style="45" customWidth="1"/>
    <col min="8" max="8" width="26.25" style="45" customWidth="1"/>
    <col min="9" max="9" width="17.5" style="45" customWidth="1"/>
    <col min="10" max="10" width="8.125" style="45" customWidth="1"/>
    <col min="11" max="16384" width="9" style="9"/>
  </cols>
  <sheetData>
    <row r="1" spans="1:10" x14ac:dyDescent="0.3">
      <c r="A1" s="80" t="str">
        <f>_xlfn.CONCAT("요구사항 정의서 (Ver ", MAX(개정이력!F$5:F$32), ")")</f>
        <v>요구사항 정의서 (Ver 1.4)</v>
      </c>
      <c r="B1" s="81"/>
      <c r="C1" s="81"/>
      <c r="D1" s="81"/>
      <c r="E1" s="81"/>
      <c r="F1" s="81"/>
      <c r="G1" s="81"/>
      <c r="H1" s="81"/>
      <c r="I1" s="81"/>
      <c r="J1" s="82"/>
    </row>
    <row r="2" spans="1:10" x14ac:dyDescent="0.3">
      <c r="A2" s="83" t="s">
        <v>1</v>
      </c>
      <c r="B2" s="84"/>
      <c r="C2" s="2" t="s">
        <v>39</v>
      </c>
      <c r="D2" s="85" t="s">
        <v>4</v>
      </c>
      <c r="E2" s="84"/>
      <c r="F2" s="86" t="s">
        <v>61</v>
      </c>
      <c r="G2" s="86"/>
      <c r="H2" s="86"/>
      <c r="I2" s="86"/>
      <c r="J2" s="87"/>
    </row>
    <row r="3" spans="1:10" ht="17.25" thickBot="1" x14ac:dyDescent="0.35">
      <c r="A3" s="88" t="s">
        <v>2</v>
      </c>
      <c r="B3" s="89"/>
      <c r="C3" s="32" t="s">
        <v>3</v>
      </c>
      <c r="D3" s="90" t="s">
        <v>16</v>
      </c>
      <c r="E3" s="89"/>
      <c r="F3" s="91">
        <f>MAX(개정이력!G$5:G$32)</f>
        <v>45988</v>
      </c>
      <c r="G3" s="91"/>
      <c r="H3" s="91"/>
      <c r="I3" s="91"/>
      <c r="J3" s="92"/>
    </row>
    <row r="4" spans="1:10" ht="17.25" thickBot="1" x14ac:dyDescent="0.35">
      <c r="A4" s="52"/>
      <c r="B4" s="27"/>
      <c r="C4" s="27"/>
      <c r="D4" s="27"/>
      <c r="E4" s="27"/>
      <c r="F4" s="53"/>
      <c r="G4" s="10"/>
      <c r="H4" s="29"/>
      <c r="I4" s="29"/>
      <c r="J4" s="30"/>
    </row>
    <row r="5" spans="1:10" x14ac:dyDescent="0.3">
      <c r="A5" s="72" t="s">
        <v>6</v>
      </c>
      <c r="B5" s="74" t="s">
        <v>7</v>
      </c>
      <c r="C5" s="74" t="s">
        <v>8</v>
      </c>
      <c r="D5" s="76" t="s">
        <v>9</v>
      </c>
      <c r="E5" s="74" t="s">
        <v>5</v>
      </c>
      <c r="F5" s="74"/>
      <c r="G5" s="78" t="s">
        <v>20</v>
      </c>
      <c r="H5" s="68" t="s">
        <v>12</v>
      </c>
      <c r="I5" s="68" t="s">
        <v>13</v>
      </c>
      <c r="J5" s="70" t="s">
        <v>14</v>
      </c>
    </row>
    <row r="6" spans="1:10" x14ac:dyDescent="0.3">
      <c r="A6" s="73"/>
      <c r="B6" s="75"/>
      <c r="C6" s="75"/>
      <c r="D6" s="77"/>
      <c r="E6" s="1" t="s">
        <v>10</v>
      </c>
      <c r="F6" s="4" t="s">
        <v>11</v>
      </c>
      <c r="G6" s="79"/>
      <c r="H6" s="69"/>
      <c r="I6" s="69"/>
      <c r="J6" s="71"/>
    </row>
    <row r="7" spans="1:10" ht="123.75" customHeight="1" x14ac:dyDescent="0.3">
      <c r="A7" s="64" t="s">
        <v>55</v>
      </c>
      <c r="B7" s="66" t="s">
        <v>75</v>
      </c>
      <c r="C7" s="21">
        <f>MAX(개정이력!G$5:G$32)</f>
        <v>45988</v>
      </c>
      <c r="D7" s="19" t="s">
        <v>56</v>
      </c>
      <c r="E7" s="19" t="s">
        <v>47</v>
      </c>
      <c r="F7" s="22" t="s">
        <v>120</v>
      </c>
      <c r="G7" s="23" t="s">
        <v>91</v>
      </c>
      <c r="H7" s="24"/>
      <c r="I7" s="25"/>
      <c r="J7" s="40"/>
    </row>
    <row r="8" spans="1:10" ht="135" customHeight="1" x14ac:dyDescent="0.3">
      <c r="A8" s="93"/>
      <c r="B8" s="94"/>
      <c r="C8" s="21">
        <f>MAX(개정이력!G$5:G$32)</f>
        <v>45988</v>
      </c>
      <c r="D8" s="19" t="s">
        <v>77</v>
      </c>
      <c r="E8" s="19" t="s">
        <v>53</v>
      </c>
      <c r="F8" s="22" t="s">
        <v>54</v>
      </c>
      <c r="G8" s="23" t="s">
        <v>91</v>
      </c>
      <c r="H8" s="24"/>
      <c r="I8" s="25" t="s">
        <v>50</v>
      </c>
      <c r="J8" s="40"/>
    </row>
    <row r="9" spans="1:10" ht="392.25" customHeight="1" x14ac:dyDescent="0.3">
      <c r="A9" s="64" t="s">
        <v>76</v>
      </c>
      <c r="B9" s="66" t="s">
        <v>44</v>
      </c>
      <c r="C9" s="21">
        <f>MAX(개정이력!G$5:G$32)</f>
        <v>45988</v>
      </c>
      <c r="D9" s="19" t="s">
        <v>78</v>
      </c>
      <c r="E9" s="19" t="s">
        <v>48</v>
      </c>
      <c r="F9" s="22" t="s">
        <v>116</v>
      </c>
      <c r="G9" s="23" t="s">
        <v>91</v>
      </c>
      <c r="H9" s="24" t="s">
        <v>114</v>
      </c>
      <c r="I9" s="25" t="s">
        <v>51</v>
      </c>
      <c r="J9" s="40"/>
    </row>
    <row r="10" spans="1:10" ht="209.25" customHeight="1" x14ac:dyDescent="0.3">
      <c r="A10" s="95"/>
      <c r="B10" s="96"/>
      <c r="C10" s="21">
        <f>MAX(개정이력!G$5:G$32)</f>
        <v>45988</v>
      </c>
      <c r="D10" s="19" t="s">
        <v>79</v>
      </c>
      <c r="E10" s="19" t="s">
        <v>57</v>
      </c>
      <c r="F10" s="22" t="s">
        <v>117</v>
      </c>
      <c r="G10" s="23" t="s">
        <v>91</v>
      </c>
      <c r="H10" s="24"/>
      <c r="I10" s="25"/>
      <c r="J10" s="40"/>
    </row>
    <row r="11" spans="1:10" ht="159.75" customHeight="1" x14ac:dyDescent="0.3">
      <c r="A11" s="95"/>
      <c r="B11" s="96"/>
      <c r="C11" s="21">
        <f>MAX(개정이력!G$5:G$32)</f>
        <v>45988</v>
      </c>
      <c r="D11" s="19" t="s">
        <v>80</v>
      </c>
      <c r="E11" s="19" t="s">
        <v>49</v>
      </c>
      <c r="F11" s="22" t="s">
        <v>68</v>
      </c>
      <c r="G11" s="23" t="s">
        <v>91</v>
      </c>
      <c r="H11" s="24" t="s">
        <v>118</v>
      </c>
      <c r="I11" s="25" t="s">
        <v>51</v>
      </c>
      <c r="J11" s="40"/>
    </row>
    <row r="12" spans="1:10" ht="91.5" customHeight="1" x14ac:dyDescent="0.3">
      <c r="A12" s="93"/>
      <c r="B12" s="94"/>
      <c r="C12" s="21">
        <f>MAX(개정이력!G$5:G$32)</f>
        <v>45988</v>
      </c>
      <c r="D12" s="19" t="s">
        <v>81</v>
      </c>
      <c r="E12" s="19" t="s">
        <v>58</v>
      </c>
      <c r="F12" s="22" t="s">
        <v>59</v>
      </c>
      <c r="G12" s="23" t="s">
        <v>91</v>
      </c>
      <c r="H12" s="24"/>
      <c r="I12" s="25"/>
      <c r="J12" s="40"/>
    </row>
    <row r="13" spans="1:10" ht="66.75" thickBot="1" x14ac:dyDescent="0.35">
      <c r="A13" s="46" t="s">
        <v>96</v>
      </c>
      <c r="B13" s="47" t="s">
        <v>98</v>
      </c>
      <c r="C13" s="33">
        <f>MAX(개정이력!G$5:G$32)</f>
        <v>45988</v>
      </c>
      <c r="D13" s="34" t="s">
        <v>97</v>
      </c>
      <c r="E13" s="34" t="s">
        <v>98</v>
      </c>
      <c r="F13" s="48" t="s">
        <v>99</v>
      </c>
      <c r="G13" s="49" t="s">
        <v>100</v>
      </c>
      <c r="H13" s="50"/>
      <c r="I13" s="50"/>
      <c r="J13" s="51"/>
    </row>
  </sheetData>
  <mergeCells count="20">
    <mergeCell ref="C5:C6"/>
    <mergeCell ref="D5:D6"/>
    <mergeCell ref="E5:F5"/>
    <mergeCell ref="G5:G6"/>
    <mergeCell ref="A7:A8"/>
    <mergeCell ref="B7:B8"/>
    <mergeCell ref="A9:A12"/>
    <mergeCell ref="B9:B12"/>
    <mergeCell ref="A1:J1"/>
    <mergeCell ref="A2:B2"/>
    <mergeCell ref="D2:E2"/>
    <mergeCell ref="F2:J2"/>
    <mergeCell ref="A3:B3"/>
    <mergeCell ref="D3:E3"/>
    <mergeCell ref="F3:J3"/>
    <mergeCell ref="H5:H6"/>
    <mergeCell ref="I5:I6"/>
    <mergeCell ref="J5:J6"/>
    <mergeCell ref="A5:A6"/>
    <mergeCell ref="B5:B6"/>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FFF3B-72B6-40D4-87F8-2F0684F59560}">
  <dimension ref="A1:J12"/>
  <sheetViews>
    <sheetView tabSelected="1" topLeftCell="C1" workbookViewId="0">
      <selection activeCell="F8" sqref="F8"/>
    </sheetView>
  </sheetViews>
  <sheetFormatPr defaultRowHeight="16.5" x14ac:dyDescent="0.3"/>
  <cols>
    <col min="1" max="1" width="18.5" style="9" customWidth="1"/>
    <col min="2" max="2" width="17.75" style="9" customWidth="1"/>
    <col min="3" max="3" width="13.375" style="9" customWidth="1"/>
    <col min="4" max="4" width="31.75" style="9" customWidth="1"/>
    <col min="5" max="5" width="28.375" style="9" customWidth="1"/>
    <col min="6" max="6" width="82.125" style="44" customWidth="1"/>
    <col min="7" max="7" width="20.625" style="45" customWidth="1"/>
    <col min="8" max="8" width="21.125" style="45" customWidth="1"/>
    <col min="9" max="9" width="17.5" style="45" customWidth="1"/>
    <col min="10" max="10" width="8.125" style="45" customWidth="1"/>
    <col min="11" max="16384" width="9" style="9"/>
  </cols>
  <sheetData>
    <row r="1" spans="1:10" x14ac:dyDescent="0.3">
      <c r="A1" s="97" t="str">
        <f>_xlfn.CONCAT("요구사항 정의서 (Ver ", MAX(개정이력!F$5:F$32), ")")</f>
        <v>요구사항 정의서 (Ver 1.4)</v>
      </c>
      <c r="B1" s="98"/>
      <c r="C1" s="98"/>
      <c r="D1" s="98"/>
      <c r="E1" s="98"/>
      <c r="F1" s="98"/>
      <c r="G1" s="98"/>
      <c r="H1" s="98"/>
      <c r="I1" s="98"/>
      <c r="J1" s="99"/>
    </row>
    <row r="2" spans="1:10" x14ac:dyDescent="0.3">
      <c r="A2" s="83" t="s">
        <v>1</v>
      </c>
      <c r="B2" s="84"/>
      <c r="C2" s="2" t="s">
        <v>39</v>
      </c>
      <c r="D2" s="85" t="s">
        <v>4</v>
      </c>
      <c r="E2" s="84"/>
      <c r="F2" s="86" t="s">
        <v>71</v>
      </c>
      <c r="G2" s="86"/>
      <c r="H2" s="86"/>
      <c r="I2" s="86"/>
      <c r="J2" s="87"/>
    </row>
    <row r="3" spans="1:10" ht="17.25" thickBot="1" x14ac:dyDescent="0.35">
      <c r="A3" s="88" t="s">
        <v>2</v>
      </c>
      <c r="B3" s="89"/>
      <c r="C3" s="32" t="s">
        <v>3</v>
      </c>
      <c r="D3" s="90" t="s">
        <v>16</v>
      </c>
      <c r="E3" s="89"/>
      <c r="F3" s="91">
        <f>MAX(개정이력!G$5:G$32)</f>
        <v>45988</v>
      </c>
      <c r="G3" s="91"/>
      <c r="H3" s="91"/>
      <c r="I3" s="91"/>
      <c r="J3" s="92"/>
    </row>
    <row r="4" spans="1:10" ht="17.25" thickBot="1" x14ac:dyDescent="0.35">
      <c r="A4" s="52"/>
      <c r="B4" s="27"/>
      <c r="C4" s="27"/>
      <c r="D4" s="27"/>
      <c r="E4" s="27"/>
      <c r="F4" s="53"/>
      <c r="G4" s="10"/>
      <c r="H4" s="29"/>
      <c r="I4" s="29"/>
      <c r="J4" s="30"/>
    </row>
    <row r="5" spans="1:10" x14ac:dyDescent="0.3">
      <c r="A5" s="72" t="s">
        <v>6</v>
      </c>
      <c r="B5" s="74" t="s">
        <v>7</v>
      </c>
      <c r="C5" s="74" t="s">
        <v>8</v>
      </c>
      <c r="D5" s="76" t="s">
        <v>9</v>
      </c>
      <c r="E5" s="74" t="s">
        <v>5</v>
      </c>
      <c r="F5" s="74"/>
      <c r="G5" s="78" t="s">
        <v>20</v>
      </c>
      <c r="H5" s="68" t="s">
        <v>12</v>
      </c>
      <c r="I5" s="68" t="s">
        <v>13</v>
      </c>
      <c r="J5" s="70" t="s">
        <v>14</v>
      </c>
    </row>
    <row r="6" spans="1:10" x14ac:dyDescent="0.3">
      <c r="A6" s="73"/>
      <c r="B6" s="75"/>
      <c r="C6" s="75"/>
      <c r="D6" s="77"/>
      <c r="E6" s="1" t="s">
        <v>10</v>
      </c>
      <c r="F6" s="4" t="s">
        <v>11</v>
      </c>
      <c r="G6" s="79"/>
      <c r="H6" s="69"/>
      <c r="I6" s="69"/>
      <c r="J6" s="71"/>
    </row>
    <row r="7" spans="1:10" ht="204" customHeight="1" x14ac:dyDescent="0.3">
      <c r="A7" s="64" t="s">
        <v>72</v>
      </c>
      <c r="B7" s="66" t="s">
        <v>74</v>
      </c>
      <c r="C7" s="21">
        <f>MAX(개정이력!G$5:G$32)</f>
        <v>45988</v>
      </c>
      <c r="D7" s="19" t="s">
        <v>84</v>
      </c>
      <c r="E7" s="19" t="s">
        <v>52</v>
      </c>
      <c r="F7" s="22" t="s">
        <v>150</v>
      </c>
      <c r="G7" s="23" t="s">
        <v>100</v>
      </c>
      <c r="H7" s="24"/>
      <c r="I7" s="25"/>
      <c r="J7" s="40"/>
    </row>
    <row r="8" spans="1:10" ht="129.75" customHeight="1" x14ac:dyDescent="0.3">
      <c r="A8" s="93"/>
      <c r="B8" s="94"/>
      <c r="C8" s="21">
        <f>MAX(개정이력!G$5:G$32)</f>
        <v>45988</v>
      </c>
      <c r="D8" s="19" t="s">
        <v>85</v>
      </c>
      <c r="E8" s="19" t="s">
        <v>60</v>
      </c>
      <c r="F8" s="22" t="s">
        <v>152</v>
      </c>
      <c r="G8" s="23" t="s">
        <v>100</v>
      </c>
      <c r="H8" s="24"/>
      <c r="I8" s="25" t="s">
        <v>151</v>
      </c>
      <c r="J8" s="40"/>
    </row>
    <row r="9" spans="1:10" ht="309" customHeight="1" x14ac:dyDescent="0.3">
      <c r="A9" s="64" t="s">
        <v>73</v>
      </c>
      <c r="B9" s="66" t="s">
        <v>40</v>
      </c>
      <c r="C9" s="21">
        <f>MAX(개정이력!G$5:G$32)</f>
        <v>45988</v>
      </c>
      <c r="D9" s="19" t="s">
        <v>86</v>
      </c>
      <c r="E9" s="19" t="s">
        <v>62</v>
      </c>
      <c r="F9" s="22" t="s">
        <v>107</v>
      </c>
      <c r="G9" s="26" t="s">
        <v>64</v>
      </c>
      <c r="H9" s="24" t="s">
        <v>105</v>
      </c>
      <c r="I9" s="25" t="s">
        <v>106</v>
      </c>
      <c r="J9" s="40"/>
    </row>
    <row r="10" spans="1:10" ht="144.75" customHeight="1" x14ac:dyDescent="0.3">
      <c r="A10" s="95"/>
      <c r="B10" s="96"/>
      <c r="C10" s="21">
        <f>MAX(개정이력!G$5:G$32)</f>
        <v>45988</v>
      </c>
      <c r="D10" s="19" t="s">
        <v>87</v>
      </c>
      <c r="E10" s="19" t="s">
        <v>67</v>
      </c>
      <c r="F10" s="22" t="s">
        <v>108</v>
      </c>
      <c r="G10" s="26" t="s">
        <v>95</v>
      </c>
      <c r="H10" s="24"/>
      <c r="I10" s="25"/>
      <c r="J10" s="40"/>
    </row>
    <row r="11" spans="1:10" ht="148.5" x14ac:dyDescent="0.3">
      <c r="A11" s="95"/>
      <c r="B11" s="96"/>
      <c r="C11" s="21">
        <f>MAX(개정이력!G$5:G$32)</f>
        <v>45988</v>
      </c>
      <c r="D11" s="19" t="s">
        <v>88</v>
      </c>
      <c r="E11" s="19" t="s">
        <v>63</v>
      </c>
      <c r="F11" s="22" t="s">
        <v>109</v>
      </c>
      <c r="G11" s="26" t="s">
        <v>64</v>
      </c>
      <c r="H11" s="24" t="s">
        <v>105</v>
      </c>
      <c r="I11" s="25" t="s">
        <v>106</v>
      </c>
      <c r="J11" s="40"/>
    </row>
    <row r="12" spans="1:10" ht="83.25" thickBot="1" x14ac:dyDescent="0.35">
      <c r="A12" s="65"/>
      <c r="B12" s="67"/>
      <c r="C12" s="33">
        <f>MAX(개정이력!G$5:G$32)</f>
        <v>45988</v>
      </c>
      <c r="D12" s="34" t="s">
        <v>89</v>
      </c>
      <c r="E12" s="34" t="s">
        <v>65</v>
      </c>
      <c r="F12" s="35" t="s">
        <v>69</v>
      </c>
      <c r="G12" s="41" t="s">
        <v>64</v>
      </c>
      <c r="H12" s="42"/>
      <c r="I12" s="43"/>
      <c r="J12" s="38"/>
    </row>
  </sheetData>
  <mergeCells count="20">
    <mergeCell ref="C5:C6"/>
    <mergeCell ref="D5:D6"/>
    <mergeCell ref="E5:F5"/>
    <mergeCell ref="G5:G6"/>
    <mergeCell ref="A7:A8"/>
    <mergeCell ref="B7:B8"/>
    <mergeCell ref="A9:A12"/>
    <mergeCell ref="B9:B12"/>
    <mergeCell ref="A1:J1"/>
    <mergeCell ref="A2:B2"/>
    <mergeCell ref="D2:E2"/>
    <mergeCell ref="F2:J2"/>
    <mergeCell ref="A3:B3"/>
    <mergeCell ref="D3:E3"/>
    <mergeCell ref="F3:J3"/>
    <mergeCell ref="H5:H6"/>
    <mergeCell ref="I5:I6"/>
    <mergeCell ref="J5:J6"/>
    <mergeCell ref="A5:A6"/>
    <mergeCell ref="B5:B6"/>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1908-A7D9-41B7-AC89-47A58C3450C3}">
  <dimension ref="A1:J8"/>
  <sheetViews>
    <sheetView workbookViewId="0">
      <selection activeCell="H8" sqref="H8"/>
    </sheetView>
  </sheetViews>
  <sheetFormatPr defaultRowHeight="16.5" x14ac:dyDescent="0.3"/>
  <cols>
    <col min="1" max="1" width="18.5" style="9" customWidth="1"/>
    <col min="2" max="2" width="17.75" style="9" customWidth="1"/>
    <col min="3" max="3" width="11.625" style="9" customWidth="1"/>
    <col min="4" max="4" width="31.75" style="9" customWidth="1"/>
    <col min="5" max="5" width="28.375" style="9" customWidth="1"/>
    <col min="6" max="6" width="82.125" style="44" customWidth="1"/>
    <col min="7" max="7" width="20.625" style="45" customWidth="1"/>
    <col min="8" max="8" width="26.75" style="45" customWidth="1"/>
    <col min="9" max="9" width="17.5" style="45" customWidth="1"/>
    <col min="10" max="10" width="8.125" style="45" customWidth="1"/>
    <col min="11" max="16384" width="9" style="9"/>
  </cols>
  <sheetData>
    <row r="1" spans="1:10" x14ac:dyDescent="0.3">
      <c r="A1" s="97" t="str">
        <f>_xlfn.CONCAT("요구사항 정의서 (Ver ", MAX(개정이력!F$5:F$32), ")")</f>
        <v>요구사항 정의서 (Ver 1.4)</v>
      </c>
      <c r="B1" s="98"/>
      <c r="C1" s="98"/>
      <c r="D1" s="98"/>
      <c r="E1" s="98"/>
      <c r="F1" s="98"/>
      <c r="G1" s="98"/>
      <c r="H1" s="98"/>
      <c r="I1" s="98"/>
      <c r="J1" s="99"/>
    </row>
    <row r="2" spans="1:10" x14ac:dyDescent="0.3">
      <c r="A2" s="83" t="s">
        <v>1</v>
      </c>
      <c r="B2" s="84"/>
      <c r="C2" s="2" t="s">
        <v>39</v>
      </c>
      <c r="D2" s="85" t="s">
        <v>4</v>
      </c>
      <c r="E2" s="84"/>
      <c r="F2" s="86" t="s">
        <v>92</v>
      </c>
      <c r="G2" s="86"/>
      <c r="H2" s="86"/>
      <c r="I2" s="86"/>
      <c r="J2" s="87"/>
    </row>
    <row r="3" spans="1:10" ht="17.25" thickBot="1" x14ac:dyDescent="0.35">
      <c r="A3" s="88" t="s">
        <v>2</v>
      </c>
      <c r="B3" s="89"/>
      <c r="C3" s="32" t="s">
        <v>3</v>
      </c>
      <c r="D3" s="90" t="s">
        <v>16</v>
      </c>
      <c r="E3" s="89"/>
      <c r="F3" s="91">
        <f>MAX(개정이력!G$5:G$32)</f>
        <v>45988</v>
      </c>
      <c r="G3" s="91"/>
      <c r="H3" s="91"/>
      <c r="I3" s="91"/>
      <c r="J3" s="92"/>
    </row>
    <row r="4" spans="1:10" ht="17.25" thickBot="1" x14ac:dyDescent="0.35">
      <c r="A4" s="52"/>
      <c r="B4" s="27"/>
      <c r="C4" s="27"/>
      <c r="D4" s="27"/>
      <c r="E4" s="27"/>
      <c r="F4" s="53"/>
      <c r="G4" s="10"/>
      <c r="H4" s="29"/>
      <c r="I4" s="29"/>
      <c r="J4" s="30"/>
    </row>
    <row r="5" spans="1:10" x14ac:dyDescent="0.3">
      <c r="A5" s="72" t="s">
        <v>6</v>
      </c>
      <c r="B5" s="74" t="s">
        <v>7</v>
      </c>
      <c r="C5" s="74" t="s">
        <v>8</v>
      </c>
      <c r="D5" s="76" t="s">
        <v>9</v>
      </c>
      <c r="E5" s="74" t="s">
        <v>5</v>
      </c>
      <c r="F5" s="74"/>
      <c r="G5" s="78" t="s">
        <v>20</v>
      </c>
      <c r="H5" s="68" t="s">
        <v>12</v>
      </c>
      <c r="I5" s="68" t="s">
        <v>13</v>
      </c>
      <c r="J5" s="70" t="s">
        <v>14</v>
      </c>
    </row>
    <row r="6" spans="1:10" x14ac:dyDescent="0.3">
      <c r="A6" s="73"/>
      <c r="B6" s="75"/>
      <c r="C6" s="75"/>
      <c r="D6" s="77"/>
      <c r="E6" s="1" t="s">
        <v>10</v>
      </c>
      <c r="F6" s="4" t="s">
        <v>11</v>
      </c>
      <c r="G6" s="79"/>
      <c r="H6" s="69"/>
      <c r="I6" s="69"/>
      <c r="J6" s="71"/>
    </row>
    <row r="7" spans="1:10" ht="165" x14ac:dyDescent="0.3">
      <c r="A7" s="39" t="s">
        <v>90</v>
      </c>
      <c r="B7" s="2" t="s">
        <v>102</v>
      </c>
      <c r="C7" s="21">
        <f>MAX(개정이력!G$5:G$32)</f>
        <v>45988</v>
      </c>
      <c r="D7" s="19" t="s">
        <v>111</v>
      </c>
      <c r="E7" s="19" t="s">
        <v>70</v>
      </c>
      <c r="F7" s="22" t="s">
        <v>110</v>
      </c>
      <c r="G7" s="26" t="s">
        <v>103</v>
      </c>
      <c r="H7" s="24"/>
      <c r="I7" s="25"/>
      <c r="J7" s="40"/>
    </row>
    <row r="8" spans="1:10" ht="244.5" customHeight="1" thickBot="1" x14ac:dyDescent="0.35">
      <c r="A8" s="31" t="s">
        <v>93</v>
      </c>
      <c r="B8" s="32" t="s">
        <v>66</v>
      </c>
      <c r="C8" s="33">
        <f>MAX(개정이력!G$5:G$32)</f>
        <v>45988</v>
      </c>
      <c r="D8" s="34" t="s">
        <v>112</v>
      </c>
      <c r="E8" s="34" t="s">
        <v>66</v>
      </c>
      <c r="F8" s="35" t="s">
        <v>113</v>
      </c>
      <c r="G8" s="41" t="s">
        <v>94</v>
      </c>
      <c r="H8" s="42" t="s">
        <v>104</v>
      </c>
      <c r="I8" s="43"/>
      <c r="J8" s="38"/>
    </row>
  </sheetData>
  <mergeCells count="16">
    <mergeCell ref="H5:H6"/>
    <mergeCell ref="I5:I6"/>
    <mergeCell ref="J5:J6"/>
    <mergeCell ref="A5:A6"/>
    <mergeCell ref="B5:B6"/>
    <mergeCell ref="C5:C6"/>
    <mergeCell ref="D5:D6"/>
    <mergeCell ref="E5:F5"/>
    <mergeCell ref="G5:G6"/>
    <mergeCell ref="A1:J1"/>
    <mergeCell ref="A2:B2"/>
    <mergeCell ref="D2:E2"/>
    <mergeCell ref="F2:J2"/>
    <mergeCell ref="A3:B3"/>
    <mergeCell ref="D3:E3"/>
    <mergeCell ref="F3:J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D6A0-BED3-4B59-954E-78A34885906C}">
  <dimension ref="A1:J7"/>
  <sheetViews>
    <sheetView zoomScaleNormal="100" workbookViewId="0">
      <selection activeCell="H7" sqref="H7"/>
    </sheetView>
  </sheetViews>
  <sheetFormatPr defaultRowHeight="16.5" x14ac:dyDescent="0.3"/>
  <cols>
    <col min="1" max="1" width="11.375" style="27" customWidth="1"/>
    <col min="2" max="2" width="13.875" style="27" customWidth="1"/>
    <col min="3" max="3" width="11.625" style="27" customWidth="1"/>
    <col min="4" max="4" width="32.625" style="27" customWidth="1"/>
    <col min="5" max="5" width="23.375" style="27" customWidth="1"/>
    <col min="6" max="6" width="70.125" style="28" customWidth="1"/>
    <col min="7" max="7" width="20.625" style="10" customWidth="1"/>
    <col min="8" max="8" width="21.125" style="29" customWidth="1"/>
    <col min="9" max="9" width="17.5" style="29" customWidth="1"/>
    <col min="10" max="10" width="8.125" style="30" customWidth="1"/>
    <col min="11" max="16384" width="9" style="9"/>
  </cols>
  <sheetData>
    <row r="1" spans="1:10" ht="16.5" customHeight="1" x14ac:dyDescent="0.3">
      <c r="A1" s="97" t="str">
        <f>_xlfn.CONCAT("요구사항 정의서 (Ver ", MAX(개정이력!F$5:F$32), ")")</f>
        <v>요구사항 정의서 (Ver 1.4)</v>
      </c>
      <c r="B1" s="98"/>
      <c r="C1" s="98"/>
      <c r="D1" s="98"/>
      <c r="E1" s="98"/>
      <c r="F1" s="98"/>
      <c r="G1" s="98"/>
      <c r="H1" s="98"/>
      <c r="I1" s="98"/>
      <c r="J1" s="99"/>
    </row>
    <row r="2" spans="1:10" x14ac:dyDescent="0.3">
      <c r="A2" s="83" t="s">
        <v>1</v>
      </c>
      <c r="B2" s="84"/>
      <c r="C2" s="2" t="s">
        <v>15</v>
      </c>
      <c r="D2" s="85" t="s">
        <v>4</v>
      </c>
      <c r="E2" s="84"/>
      <c r="F2" s="100" t="s">
        <v>35</v>
      </c>
      <c r="G2" s="100"/>
      <c r="H2" s="100"/>
      <c r="I2" s="100"/>
      <c r="J2" s="101"/>
    </row>
    <row r="3" spans="1:10" ht="17.25" thickBot="1" x14ac:dyDescent="0.35">
      <c r="A3" s="88" t="s">
        <v>2</v>
      </c>
      <c r="B3" s="89"/>
      <c r="C3" s="32" t="s">
        <v>3</v>
      </c>
      <c r="D3" s="90" t="s">
        <v>16</v>
      </c>
      <c r="E3" s="89"/>
      <c r="F3" s="91">
        <f>MAX(개정이력!G$5:G$32)</f>
        <v>45988</v>
      </c>
      <c r="G3" s="91"/>
      <c r="H3" s="91"/>
      <c r="I3" s="91"/>
      <c r="J3" s="92"/>
    </row>
    <row r="4" spans="1:10" ht="17.25" thickBot="1" x14ac:dyDescent="0.35">
      <c r="A4" s="52"/>
    </row>
    <row r="5" spans="1:10" x14ac:dyDescent="0.3">
      <c r="A5" s="72" t="s">
        <v>6</v>
      </c>
      <c r="B5" s="74" t="s">
        <v>7</v>
      </c>
      <c r="C5" s="74" t="s">
        <v>8</v>
      </c>
      <c r="D5" s="76" t="s">
        <v>9</v>
      </c>
      <c r="E5" s="74" t="s">
        <v>5</v>
      </c>
      <c r="F5" s="74"/>
      <c r="G5" s="76" t="s">
        <v>20</v>
      </c>
      <c r="H5" s="68" t="s">
        <v>12</v>
      </c>
      <c r="I5" s="68" t="s">
        <v>13</v>
      </c>
      <c r="J5" s="70" t="s">
        <v>14</v>
      </c>
    </row>
    <row r="6" spans="1:10" x14ac:dyDescent="0.3">
      <c r="A6" s="73"/>
      <c r="B6" s="75"/>
      <c r="C6" s="75"/>
      <c r="D6" s="77"/>
      <c r="E6" s="1" t="s">
        <v>10</v>
      </c>
      <c r="F6" s="3" t="s">
        <v>11</v>
      </c>
      <c r="G6" s="77"/>
      <c r="H6" s="69"/>
      <c r="I6" s="69"/>
      <c r="J6" s="71"/>
    </row>
    <row r="7" spans="1:10" ht="69.75" customHeight="1" thickBot="1" x14ac:dyDescent="0.35">
      <c r="A7" s="31" t="s">
        <v>17</v>
      </c>
      <c r="B7" s="32" t="s">
        <v>0</v>
      </c>
      <c r="C7" s="33">
        <f>MAX(개정이력!G$5:G$32)</f>
        <v>45988</v>
      </c>
      <c r="D7" s="34" t="s">
        <v>18</v>
      </c>
      <c r="E7" s="34" t="s">
        <v>0</v>
      </c>
      <c r="F7" s="35" t="s">
        <v>101</v>
      </c>
      <c r="G7" s="36" t="s">
        <v>21</v>
      </c>
      <c r="H7" s="43" t="s">
        <v>19</v>
      </c>
      <c r="I7" s="37"/>
      <c r="J7" s="54"/>
    </row>
  </sheetData>
  <mergeCells count="16">
    <mergeCell ref="G5:G6"/>
    <mergeCell ref="A1:J1"/>
    <mergeCell ref="F2:J2"/>
    <mergeCell ref="F3:J3"/>
    <mergeCell ref="B5:B6"/>
    <mergeCell ref="A5:A6"/>
    <mergeCell ref="D5:D6"/>
    <mergeCell ref="A2:B2"/>
    <mergeCell ref="A3:B3"/>
    <mergeCell ref="D2:E2"/>
    <mergeCell ref="D3:E3"/>
    <mergeCell ref="J5:J6"/>
    <mergeCell ref="I5:I6"/>
    <mergeCell ref="H5:H6"/>
    <mergeCell ref="E5:F5"/>
    <mergeCell ref="C5:C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개요</vt:lpstr>
      <vt:lpstr>개정이력</vt:lpstr>
      <vt:lpstr>MAIN</vt:lpstr>
      <vt:lpstr>TEAM</vt:lpstr>
      <vt:lpstr>UM</vt:lpstr>
      <vt:lpstr>DM</vt:lpstr>
      <vt:lpstr>DI</vt:lpstr>
      <vt:lpstr>USER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준휘 안</dc:creator>
  <cp:lastModifiedBy>준휘 안</cp:lastModifiedBy>
  <dcterms:created xsi:type="dcterms:W3CDTF">2025-10-20T02:05:17Z</dcterms:created>
  <dcterms:modified xsi:type="dcterms:W3CDTF">2025-11-27T08:39:42Z</dcterms:modified>
</cp:coreProperties>
</file>