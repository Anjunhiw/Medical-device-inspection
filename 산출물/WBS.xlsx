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심화교육강의\메인프로젝트\산출물\"/>
    </mc:Choice>
  </mc:AlternateContent>
  <xr:revisionPtr revIDLastSave="0" documentId="13_ncr:1_{D83B92AD-A76B-4F93-9EF1-9EFAB0B546B2}" xr6:coauthVersionLast="47" xr6:coauthVersionMax="47" xr10:uidLastSave="{00000000-0000-0000-0000-000000000000}"/>
  <bookViews>
    <workbookView xWindow="-28920" yWindow="-15" windowWidth="29040" windowHeight="17640" activeTab="1" xr2:uid="{5D9A34E6-001A-4200-9F24-EBB4B2920475}"/>
  </bookViews>
  <sheets>
    <sheet name="개정이력" sheetId="3" r:id="rId1"/>
    <sheet name="WBS" sheetId="2" r:id="rId2"/>
  </sheets>
  <definedNames>
    <definedName name="_xlnm._FilterDatabase" localSheetId="1" hidden="1">WBS!$B$5:$E$38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E26" i="2"/>
  <c r="D26" i="2"/>
  <c r="E20" i="2"/>
  <c r="D20" i="2"/>
  <c r="E15" i="2"/>
  <c r="D15" i="2"/>
  <c r="C9" i="2"/>
  <c r="C10" i="2"/>
  <c r="C12" i="2"/>
  <c r="C13" i="2"/>
  <c r="C27" i="2"/>
  <c r="C28" i="2"/>
  <c r="C29" i="2"/>
  <c r="E35" i="2"/>
  <c r="D35" i="2"/>
  <c r="E30" i="2"/>
  <c r="D30" i="2"/>
  <c r="E7" i="2"/>
  <c r="D7" i="2"/>
  <c r="C37" i="2"/>
  <c r="C38" i="2"/>
  <c r="C36" i="2"/>
  <c r="C32" i="2"/>
  <c r="C33" i="2"/>
  <c r="C34" i="2"/>
  <c r="C31" i="2"/>
  <c r="AJ5" i="2"/>
  <c r="AK5" i="2"/>
  <c r="AL5" i="2"/>
  <c r="AM5" i="2"/>
  <c r="AI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C20" i="2" l="1"/>
  <c r="C15" i="2"/>
  <c r="C26" i="2"/>
  <c r="C30" i="2"/>
  <c r="C35" i="2"/>
  <c r="C7" i="2"/>
</calcChain>
</file>

<file path=xl/sharedStrings.xml><?xml version="1.0" encoding="utf-8"?>
<sst xmlns="http://schemas.openxmlformats.org/spreadsheetml/2006/main" count="41" uniqueCount="40">
  <si>
    <t>소요 기간</t>
  </si>
  <si>
    <t>시작일</t>
  </si>
  <si>
    <t>요구사항 검토</t>
  </si>
  <si>
    <t>시스템 아키텍처 설계</t>
  </si>
  <si>
    <t>UI/UX 설계</t>
  </si>
  <si>
    <t>외부 API 설정</t>
  </si>
  <si>
    <t>2.3.1</t>
  </si>
  <si>
    <t>게시판 API</t>
  </si>
  <si>
    <t>2.3.2</t>
  </si>
  <si>
    <t>게시판 UI</t>
  </si>
  <si>
    <t>2.3.3</t>
  </si>
  <si>
    <t>댓글/게시물 수정</t>
  </si>
  <si>
    <t>단위 테스트</t>
  </si>
  <si>
    <t>통합 테스트</t>
  </si>
  <si>
    <t>보안 테스트</t>
  </si>
  <si>
    <t>사용자 테스트</t>
  </si>
  <si>
    <t>배포 준비</t>
  </si>
  <si>
    <t>최종 배포</t>
  </si>
  <si>
    <t>최종 검토</t>
  </si>
  <si>
    <t>작업내용</t>
    <phoneticPr fontId="1" type="noConversion"/>
  </si>
  <si>
    <t>구분</t>
    <phoneticPr fontId="1" type="noConversion"/>
  </si>
  <si>
    <t>Deps</t>
    <phoneticPr fontId="1" type="noConversion"/>
  </si>
  <si>
    <t>기간</t>
    <phoneticPr fontId="1" type="noConversion"/>
  </si>
  <si>
    <t>작업명</t>
    <phoneticPr fontId="1" type="noConversion"/>
  </si>
  <si>
    <t>계획</t>
    <phoneticPr fontId="1" type="noConversion"/>
  </si>
  <si>
    <t>완료일</t>
    <phoneticPr fontId="1" type="noConversion"/>
  </si>
  <si>
    <t>프로젝트 계획</t>
    <phoneticPr fontId="1" type="noConversion"/>
  </si>
  <si>
    <t>개발</t>
    <phoneticPr fontId="1" type="noConversion"/>
  </si>
  <si>
    <t>테스트</t>
    <phoneticPr fontId="1" type="noConversion"/>
  </si>
  <si>
    <t>배포</t>
    <phoneticPr fontId="1" type="noConversion"/>
  </si>
  <si>
    <t>게시판 화면</t>
    <phoneticPr fontId="1" type="noConversion"/>
  </si>
  <si>
    <t>진행률</t>
    <phoneticPr fontId="1" type="noConversion"/>
  </si>
  <si>
    <t>스마트 의료 진단 시스템 개발 일정표 Ver 1.0</t>
    <phoneticPr fontId="1" type="noConversion"/>
  </si>
  <si>
    <t>1.1.1</t>
    <phoneticPr fontId="1" type="noConversion"/>
  </si>
  <si>
    <t>1.1.2</t>
    <phoneticPr fontId="1" type="noConversion"/>
  </si>
  <si>
    <t>1.1.3</t>
    <phoneticPr fontId="1" type="noConversion"/>
  </si>
  <si>
    <t>1.1.4</t>
    <phoneticPr fontId="1" type="noConversion"/>
  </si>
  <si>
    <t>설계</t>
    <phoneticPr fontId="1" type="noConversion"/>
  </si>
  <si>
    <t>사용자 관리</t>
    <phoneticPr fontId="1" type="noConversion"/>
  </si>
  <si>
    <t>로그인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</si>
</sst>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0"/>
      <name val="돋움"/>
      <family val="3"/>
      <charset val="129"/>
    </font>
    <font>
      <b/>
      <sz val="24"/>
      <color theme="1"/>
      <name val="돋움"/>
      <family val="3"/>
      <charset val="129"/>
    </font>
    <font>
      <b/>
      <sz val="11"/>
      <color theme="0"/>
      <name val="돋움"/>
      <family val="3"/>
      <charset val="129"/>
    </font>
    <font>
      <b/>
      <sz val="11"/>
      <color theme="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1"/>
      </right>
      <top style="thin">
        <color theme="0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indexed="64"/>
      </left>
      <right style="thin">
        <color theme="1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14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9" fontId="4" fillId="2" borderId="0" xfId="0" applyNumberFormat="1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19" xfId="0" applyFont="1" applyFill="1" applyBorder="1">
      <alignment vertical="center"/>
    </xf>
    <xf numFmtId="0" fontId="5" fillId="2" borderId="20" xfId="0" applyFont="1" applyFill="1" applyBorder="1">
      <alignment vertical="center"/>
    </xf>
    <xf numFmtId="0" fontId="5" fillId="2" borderId="21" xfId="0" applyFont="1" applyFill="1" applyBorder="1">
      <alignment vertical="center"/>
    </xf>
    <xf numFmtId="0" fontId="5" fillId="2" borderId="22" xfId="0" applyFont="1" applyFill="1" applyBorder="1">
      <alignment vertical="center"/>
    </xf>
    <xf numFmtId="0" fontId="5" fillId="2" borderId="0" xfId="0" applyFont="1" applyFill="1" applyAlignment="1">
      <alignment horizontal="center" vertical="center"/>
    </xf>
    <xf numFmtId="0" fontId="5" fillId="4" borderId="24" xfId="0" applyFont="1" applyFill="1" applyBorder="1" applyAlignment="1">
      <alignment horizontal="left" vertical="center" wrapText="1"/>
    </xf>
    <xf numFmtId="0" fontId="5" fillId="4" borderId="24" xfId="0" applyFont="1" applyFill="1" applyBorder="1" applyAlignment="1">
      <alignment horizontal="center" vertical="center" wrapText="1"/>
    </xf>
    <xf numFmtId="14" fontId="5" fillId="4" borderId="24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>
      <alignment vertical="center"/>
    </xf>
    <xf numFmtId="0" fontId="5" fillId="4" borderId="26" xfId="0" applyFont="1" applyFill="1" applyBorder="1" applyAlignment="1">
      <alignment horizontal="left" vertical="center" wrapText="1"/>
    </xf>
    <xf numFmtId="0" fontId="5" fillId="4" borderId="26" xfId="0" applyFont="1" applyFill="1" applyBorder="1" applyAlignment="1">
      <alignment horizontal="center" vertical="center" wrapText="1"/>
    </xf>
    <xf numFmtId="14" fontId="5" fillId="4" borderId="26" xfId="0" applyNumberFormat="1" applyFont="1" applyFill="1" applyBorder="1" applyAlignment="1">
      <alignment horizontal="center" vertical="center" wrapText="1"/>
    </xf>
    <xf numFmtId="0" fontId="5" fillId="4" borderId="27" xfId="0" applyFont="1" applyFill="1" applyBorder="1">
      <alignment vertical="center"/>
    </xf>
    <xf numFmtId="0" fontId="5" fillId="4" borderId="12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center" vertical="center" wrapText="1"/>
    </xf>
    <xf numFmtId="14" fontId="5" fillId="4" borderId="13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>
      <alignment vertical="center"/>
    </xf>
    <xf numFmtId="0" fontId="5" fillId="4" borderId="14" xfId="0" applyFont="1" applyFill="1" applyBorder="1">
      <alignment vertical="center"/>
    </xf>
    <xf numFmtId="0" fontId="5" fillId="4" borderId="30" xfId="0" applyFont="1" applyFill="1" applyBorder="1" applyAlignment="1">
      <alignment horizontal="left" vertical="center" wrapText="1"/>
    </xf>
    <xf numFmtId="0" fontId="5" fillId="4" borderId="30" xfId="0" applyFont="1" applyFill="1" applyBorder="1" applyAlignment="1">
      <alignment horizontal="center" vertical="center" wrapText="1"/>
    </xf>
    <xf numFmtId="14" fontId="5" fillId="4" borderId="30" xfId="0" applyNumberFormat="1" applyFont="1" applyFill="1" applyBorder="1" applyAlignment="1">
      <alignment horizontal="center" vertical="center" wrapText="1"/>
    </xf>
    <xf numFmtId="0" fontId="5" fillId="4" borderId="29" xfId="0" applyFont="1" applyFill="1" applyBorder="1">
      <alignment vertical="center"/>
    </xf>
    <xf numFmtId="0" fontId="5" fillId="4" borderId="25" xfId="0" applyFont="1" applyFill="1" applyBorder="1" applyAlignment="1">
      <alignment horizontal="left" vertical="center" wrapText="1"/>
    </xf>
    <xf numFmtId="0" fontId="5" fillId="4" borderId="25" xfId="0" applyFont="1" applyFill="1" applyBorder="1" applyAlignment="1">
      <alignment horizontal="center" vertical="center" wrapText="1"/>
    </xf>
    <xf numFmtId="14" fontId="5" fillId="4" borderId="25" xfId="0" applyNumberFormat="1" applyFont="1" applyFill="1" applyBorder="1" applyAlignment="1">
      <alignment horizontal="center" vertical="center" wrapText="1"/>
    </xf>
    <xf numFmtId="0" fontId="5" fillId="4" borderId="15" xfId="0" applyFont="1" applyFill="1" applyBorder="1">
      <alignment vertical="center"/>
    </xf>
    <xf numFmtId="0" fontId="5" fillId="4" borderId="16" xfId="0" applyFont="1" applyFill="1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5" fillId="7" borderId="24" xfId="0" applyFont="1" applyFill="1" applyBorder="1" applyAlignment="1">
      <alignment horizontal="center" vertical="center" wrapText="1"/>
    </xf>
    <xf numFmtId="14" fontId="5" fillId="7" borderId="24" xfId="0" applyNumberFormat="1" applyFont="1" applyFill="1" applyBorder="1" applyAlignment="1">
      <alignment horizontal="center" vertical="center" wrapText="1"/>
    </xf>
    <xf numFmtId="0" fontId="5" fillId="7" borderId="13" xfId="0" applyFont="1" applyFill="1" applyBorder="1">
      <alignment vertical="center"/>
    </xf>
    <xf numFmtId="0" fontId="5" fillId="7" borderId="0" xfId="0" applyFont="1" applyFill="1">
      <alignment vertical="center"/>
    </xf>
    <xf numFmtId="0" fontId="5" fillId="7" borderId="7" xfId="0" applyFont="1" applyFill="1" applyBorder="1">
      <alignment vertical="center"/>
    </xf>
    <xf numFmtId="0" fontId="4" fillId="7" borderId="28" xfId="0" applyFont="1" applyFill="1" applyBorder="1" applyAlignment="1">
      <alignment horizontal="left" vertical="center" wrapText="1"/>
    </xf>
    <xf numFmtId="0" fontId="4" fillId="7" borderId="29" xfId="0" applyFont="1" applyFill="1" applyBorder="1" applyAlignment="1">
      <alignment horizontal="left" vertical="center" wrapText="1"/>
    </xf>
    <xf numFmtId="0" fontId="4" fillId="7" borderId="29" xfId="0" applyFont="1" applyFill="1" applyBorder="1" applyAlignment="1">
      <alignment horizontal="center" vertical="center" wrapText="1"/>
    </xf>
    <xf numFmtId="14" fontId="4" fillId="7" borderId="29" xfId="0" applyNumberFormat="1" applyFont="1" applyFill="1" applyBorder="1" applyAlignment="1">
      <alignment horizontal="center" vertical="center" wrapText="1"/>
    </xf>
    <xf numFmtId="0" fontId="5" fillId="7" borderId="29" xfId="0" applyFont="1" applyFill="1" applyBorder="1">
      <alignment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left" vertical="center" wrapText="1"/>
    </xf>
    <xf numFmtId="14" fontId="4" fillId="7" borderId="24" xfId="0" applyNumberFormat="1" applyFont="1" applyFill="1" applyBorder="1" applyAlignment="1">
      <alignment horizontal="center" vertical="center" wrapText="1"/>
    </xf>
    <xf numFmtId="0" fontId="5" fillId="7" borderId="24" xfId="0" applyFont="1" applyFill="1" applyBorder="1">
      <alignment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9" fontId="5" fillId="4" borderId="13" xfId="0" applyNumberFormat="1" applyFont="1" applyFill="1" applyBorder="1">
      <alignment vertical="center"/>
    </xf>
    <xf numFmtId="9" fontId="5" fillId="4" borderId="27" xfId="0" applyNumberFormat="1" applyFont="1" applyFill="1" applyBorder="1">
      <alignment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9" fontId="4" fillId="8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9" fontId="4" fillId="9" borderId="1" xfId="0" applyNumberFormat="1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left" vertical="center" wrapText="1"/>
    </xf>
    <xf numFmtId="0" fontId="4" fillId="10" borderId="23" xfId="0" applyFont="1" applyFill="1" applyBorder="1" applyAlignment="1">
      <alignment horizontal="center" vertical="center" wrapText="1"/>
    </xf>
    <xf numFmtId="14" fontId="4" fillId="10" borderId="23" xfId="0" applyNumberFormat="1" applyFont="1" applyFill="1" applyBorder="1" applyAlignment="1">
      <alignment horizontal="center" vertical="center" wrapText="1"/>
    </xf>
    <xf numFmtId="0" fontId="4" fillId="10" borderId="23" xfId="0" applyFont="1" applyFill="1" applyBorder="1" applyAlignment="1">
      <alignment horizontal="center" vertical="center"/>
    </xf>
    <xf numFmtId="9" fontId="4" fillId="10" borderId="23" xfId="0" applyNumberFormat="1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5" fillId="11" borderId="24" xfId="0" applyFont="1" applyFill="1" applyBorder="1" applyAlignment="1">
      <alignment horizontal="left" vertical="center" wrapText="1"/>
    </xf>
    <xf numFmtId="0" fontId="5" fillId="11" borderId="24" xfId="0" applyFont="1" applyFill="1" applyBorder="1" applyAlignment="1">
      <alignment horizontal="center" vertical="center" wrapText="1"/>
    </xf>
    <xf numFmtId="14" fontId="5" fillId="11" borderId="24" xfId="0" applyNumberFormat="1" applyFont="1" applyFill="1" applyBorder="1" applyAlignment="1">
      <alignment horizontal="center" vertical="center" wrapText="1"/>
    </xf>
    <xf numFmtId="0" fontId="5" fillId="11" borderId="13" xfId="0" applyFont="1" applyFill="1" applyBorder="1">
      <alignment vertical="center"/>
    </xf>
    <xf numFmtId="9" fontId="5" fillId="11" borderId="13" xfId="0" applyNumberFormat="1" applyFont="1" applyFill="1" applyBorder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66FF"/>
      <color rgb="FF00FF00"/>
      <color rgb="FF00CC00"/>
      <color rgb="FF006600"/>
      <color rgb="FF003300"/>
      <color rgb="FF66FF66"/>
      <color rgb="FFCCFFCC"/>
      <color rgb="FF99FF99"/>
      <color rgb="FF33CC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41672</xdr:colOff>
      <xdr:row>9</xdr:row>
      <xdr:rowOff>18574</xdr:rowOff>
    </xdr:from>
    <xdr:to>
      <xdr:col>5</xdr:col>
      <xdr:colOff>1148953</xdr:colOff>
      <xdr:row>9</xdr:row>
      <xdr:rowOff>229076</xdr:rowOff>
    </xdr:to>
    <xdr:sp macro="" textlink="">
      <xdr:nvSpPr>
        <xdr:cNvPr id="16" name="CompleteShape_10">
          <a:extLst>
            <a:ext uri="{FF2B5EF4-FFF2-40B4-BE49-F238E27FC236}">
              <a16:creationId xmlns:a16="http://schemas.microsoft.com/office/drawing/2014/main" id="{997B84B2-3F38-2F97-3D13-78AA59FFE29E}"/>
            </a:ext>
          </a:extLst>
        </xdr:cNvPr>
        <xdr:cNvSpPr/>
      </xdr:nvSpPr>
      <xdr:spPr>
        <a:xfrm>
          <a:off x="6537722" y="1780699"/>
          <a:ext cx="1107281" cy="210502"/>
        </a:xfrm>
        <a:prstGeom prst="rect">
          <a:avLst/>
        </a:prstGeom>
        <a:solidFill>
          <a:srgbClr val="00B2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41672</xdr:colOff>
      <xdr:row>8</xdr:row>
      <xdr:rowOff>18574</xdr:rowOff>
    </xdr:from>
    <xdr:to>
      <xdr:col>5</xdr:col>
      <xdr:colOff>1148953</xdr:colOff>
      <xdr:row>8</xdr:row>
      <xdr:rowOff>229076</xdr:rowOff>
    </xdr:to>
    <xdr:sp macro="" textlink="">
      <xdr:nvSpPr>
        <xdr:cNvPr id="17" name="CompleteShape_9">
          <a:extLst>
            <a:ext uri="{FF2B5EF4-FFF2-40B4-BE49-F238E27FC236}">
              <a16:creationId xmlns:a16="http://schemas.microsoft.com/office/drawing/2014/main" id="{86A99851-733A-E221-9B38-2552EA178B0E}"/>
            </a:ext>
          </a:extLst>
        </xdr:cNvPr>
        <xdr:cNvSpPr/>
      </xdr:nvSpPr>
      <xdr:spPr>
        <a:xfrm>
          <a:off x="6537722" y="1533049"/>
          <a:ext cx="1107281" cy="210502"/>
        </a:xfrm>
        <a:prstGeom prst="rect">
          <a:avLst/>
        </a:prstGeom>
        <a:solidFill>
          <a:srgbClr val="00B2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8F35-F721-40D2-AF9F-A95CB8815081}">
  <sheetPr codeName="Sheet1"/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D2F1-11F6-4CB4-B81F-BFB2B07EB68D}">
  <sheetPr codeName="Sheet2"/>
  <dimension ref="A1:AM38"/>
  <sheetViews>
    <sheetView tabSelected="1" zoomScale="130" zoomScaleNormal="130" workbookViewId="0">
      <selection activeCell="F15" sqref="F15"/>
    </sheetView>
  </sheetViews>
  <sheetFormatPr defaultColWidth="3.625" defaultRowHeight="13.5" x14ac:dyDescent="0.3"/>
  <cols>
    <col min="1" max="1" width="14.5" style="8" customWidth="1"/>
    <col min="2" max="2" width="30.5" style="17" customWidth="1"/>
    <col min="3" max="3" width="10" style="17" bestFit="1" customWidth="1"/>
    <col min="4" max="4" width="15" style="17" customWidth="1"/>
    <col min="5" max="5" width="15.25" style="17" customWidth="1"/>
    <col min="6" max="7" width="15.625" style="8" customWidth="1"/>
    <col min="8" max="13" width="3.875" style="8" bestFit="1" customWidth="1"/>
    <col min="14" max="34" width="4.25" style="8" bestFit="1" customWidth="1"/>
    <col min="35" max="39" width="3.875" style="8" bestFit="1" customWidth="1"/>
    <col min="40" max="16384" width="3.625" style="8"/>
  </cols>
  <sheetData>
    <row r="1" spans="1:39" ht="31.5" x14ac:dyDescent="0.3">
      <c r="A1" s="68" t="s">
        <v>32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70"/>
    </row>
    <row r="2" spans="1:39" ht="6" customHeight="1" x14ac:dyDescent="0.3">
      <c r="A2" s="1"/>
      <c r="B2" s="2"/>
      <c r="C2" s="9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1:39" x14ac:dyDescent="0.3">
      <c r="A3" s="41" t="s">
        <v>21</v>
      </c>
      <c r="B3" s="41" t="s">
        <v>23</v>
      </c>
      <c r="C3" s="41" t="s">
        <v>22</v>
      </c>
      <c r="D3" s="71" t="s">
        <v>24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>
        <v>2025.12</v>
      </c>
      <c r="AJ3" s="71"/>
      <c r="AK3" s="71"/>
      <c r="AL3" s="71"/>
      <c r="AM3" s="71"/>
    </row>
    <row r="4" spans="1:39" ht="17.100000000000001" customHeight="1" x14ac:dyDescent="0.3">
      <c r="A4" s="72" t="s">
        <v>20</v>
      </c>
      <c r="B4" s="72" t="s">
        <v>19</v>
      </c>
      <c r="C4" s="72" t="s">
        <v>0</v>
      </c>
      <c r="D4" s="72" t="s">
        <v>1</v>
      </c>
      <c r="E4" s="72" t="s">
        <v>25</v>
      </c>
      <c r="F4" s="95" t="s">
        <v>31</v>
      </c>
      <c r="G4" s="95"/>
      <c r="H4" s="74">
        <v>4</v>
      </c>
      <c r="I4" s="74">
        <v>5</v>
      </c>
      <c r="J4" s="74">
        <v>6</v>
      </c>
      <c r="K4" s="74">
        <v>7</v>
      </c>
      <c r="L4" s="74">
        <v>8</v>
      </c>
      <c r="M4" s="74">
        <v>9</v>
      </c>
      <c r="N4" s="74">
        <v>10</v>
      </c>
      <c r="O4" s="74">
        <v>11</v>
      </c>
      <c r="P4" s="74">
        <v>12</v>
      </c>
      <c r="Q4" s="74">
        <v>13</v>
      </c>
      <c r="R4" s="74">
        <v>14</v>
      </c>
      <c r="S4" s="74">
        <v>15</v>
      </c>
      <c r="T4" s="74">
        <v>16</v>
      </c>
      <c r="U4" s="74">
        <v>17</v>
      </c>
      <c r="V4" s="74">
        <v>18</v>
      </c>
      <c r="W4" s="74">
        <v>19</v>
      </c>
      <c r="X4" s="74">
        <v>20</v>
      </c>
      <c r="Y4" s="74">
        <v>21</v>
      </c>
      <c r="Z4" s="74">
        <v>22</v>
      </c>
      <c r="AA4" s="74">
        <v>23</v>
      </c>
      <c r="AB4" s="74">
        <v>24</v>
      </c>
      <c r="AC4" s="74">
        <v>25</v>
      </c>
      <c r="AD4" s="74">
        <v>26</v>
      </c>
      <c r="AE4" s="74">
        <v>27</v>
      </c>
      <c r="AF4" s="74">
        <v>28</v>
      </c>
      <c r="AG4" s="74">
        <v>29</v>
      </c>
      <c r="AH4" s="74">
        <v>30</v>
      </c>
      <c r="AI4" s="74">
        <v>1</v>
      </c>
      <c r="AJ4" s="74">
        <v>2</v>
      </c>
      <c r="AK4" s="74">
        <v>3</v>
      </c>
      <c r="AL4" s="74">
        <v>4</v>
      </c>
      <c r="AM4" s="74">
        <v>5</v>
      </c>
    </row>
    <row r="5" spans="1:39" ht="17.100000000000001" customHeight="1" x14ac:dyDescent="0.3">
      <c r="A5" s="96"/>
      <c r="B5" s="97"/>
      <c r="C5" s="72">
        <f>_xlfn.VALUETOTEXT(E5) - _xlfn.VALUETOTEXT(D5)</f>
        <v>31</v>
      </c>
      <c r="D5" s="73">
        <v>45965</v>
      </c>
      <c r="E5" s="73">
        <v>45996</v>
      </c>
      <c r="F5" s="74"/>
      <c r="G5" s="75">
        <v>1</v>
      </c>
      <c r="H5" s="74" t="str">
        <f t="shared" ref="H5:AH5" si="0">TEXT(DATE(2025, 11, H$4), "aaa")</f>
        <v>화</v>
      </c>
      <c r="I5" s="74" t="str">
        <f t="shared" si="0"/>
        <v>수</v>
      </c>
      <c r="J5" s="74" t="str">
        <f t="shared" si="0"/>
        <v>목</v>
      </c>
      <c r="K5" s="74" t="str">
        <f t="shared" si="0"/>
        <v>금</v>
      </c>
      <c r="L5" s="74" t="str">
        <f t="shared" si="0"/>
        <v>토</v>
      </c>
      <c r="M5" s="74" t="str">
        <f t="shared" si="0"/>
        <v>일</v>
      </c>
      <c r="N5" s="74" t="str">
        <f t="shared" si="0"/>
        <v>월</v>
      </c>
      <c r="O5" s="74" t="str">
        <f t="shared" si="0"/>
        <v>화</v>
      </c>
      <c r="P5" s="74" t="str">
        <f t="shared" si="0"/>
        <v>수</v>
      </c>
      <c r="Q5" s="74" t="str">
        <f t="shared" si="0"/>
        <v>목</v>
      </c>
      <c r="R5" s="74" t="str">
        <f t="shared" si="0"/>
        <v>금</v>
      </c>
      <c r="S5" s="74" t="str">
        <f t="shared" si="0"/>
        <v>토</v>
      </c>
      <c r="T5" s="74" t="str">
        <f t="shared" si="0"/>
        <v>일</v>
      </c>
      <c r="U5" s="74" t="str">
        <f t="shared" si="0"/>
        <v>월</v>
      </c>
      <c r="V5" s="74" t="str">
        <f t="shared" si="0"/>
        <v>화</v>
      </c>
      <c r="W5" s="74" t="str">
        <f t="shared" si="0"/>
        <v>수</v>
      </c>
      <c r="X5" s="74" t="str">
        <f t="shared" si="0"/>
        <v>목</v>
      </c>
      <c r="Y5" s="74" t="str">
        <f t="shared" si="0"/>
        <v>금</v>
      </c>
      <c r="Z5" s="74" t="str">
        <f t="shared" si="0"/>
        <v>토</v>
      </c>
      <c r="AA5" s="74" t="str">
        <f t="shared" si="0"/>
        <v>일</v>
      </c>
      <c r="AB5" s="74" t="str">
        <f t="shared" si="0"/>
        <v>월</v>
      </c>
      <c r="AC5" s="74" t="str">
        <f t="shared" si="0"/>
        <v>화</v>
      </c>
      <c r="AD5" s="74" t="str">
        <f t="shared" si="0"/>
        <v>수</v>
      </c>
      <c r="AE5" s="74" t="str">
        <f t="shared" si="0"/>
        <v>목</v>
      </c>
      <c r="AF5" s="74" t="str">
        <f t="shared" si="0"/>
        <v>금</v>
      </c>
      <c r="AG5" s="74" t="str">
        <f t="shared" si="0"/>
        <v>토</v>
      </c>
      <c r="AH5" s="74" t="str">
        <f t="shared" si="0"/>
        <v>일</v>
      </c>
      <c r="AI5" s="74" t="str">
        <f>TEXT(DATE(2025, 12, AI$4), "aaa")</f>
        <v>월</v>
      </c>
      <c r="AJ5" s="74" t="str">
        <f t="shared" ref="AJ5:AM5" si="1">TEXT(DATE(2025, 12, AJ$4), "aaa")</f>
        <v>화</v>
      </c>
      <c r="AK5" s="74" t="str">
        <f t="shared" si="1"/>
        <v>수</v>
      </c>
      <c r="AL5" s="74" t="str">
        <f t="shared" si="1"/>
        <v>목</v>
      </c>
      <c r="AM5" s="74" t="str">
        <f t="shared" si="1"/>
        <v>금</v>
      </c>
    </row>
    <row r="6" spans="1:39" ht="2.25" customHeight="1" x14ac:dyDescent="0.3">
      <c r="A6" s="3"/>
      <c r="B6" s="3"/>
      <c r="C6" s="3"/>
      <c r="D6" s="4"/>
      <c r="E6" s="4"/>
      <c r="F6" s="5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7"/>
    </row>
    <row r="7" spans="1:39" ht="17.100000000000001" customHeight="1" x14ac:dyDescent="0.3">
      <c r="A7" s="76">
        <v>1</v>
      </c>
      <c r="B7" s="76" t="s">
        <v>26</v>
      </c>
      <c r="C7" s="77">
        <f>_xlfn.VALUETOTEXT(E7) - _xlfn.VALUETOTEXT(D7)</f>
        <v>3</v>
      </c>
      <c r="D7" s="78">
        <f>D9</f>
        <v>45951</v>
      </c>
      <c r="E7" s="78">
        <f>E13</f>
        <v>45954</v>
      </c>
      <c r="F7" s="79"/>
      <c r="G7" s="80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2"/>
    </row>
    <row r="8" spans="1:39" ht="17.100000000000001" customHeight="1" x14ac:dyDescent="0.3">
      <c r="A8" s="83">
        <v>1.1000000000000001</v>
      </c>
      <c r="B8" s="83" t="s">
        <v>24</v>
      </c>
      <c r="C8" s="84"/>
      <c r="D8" s="85"/>
      <c r="E8" s="85"/>
      <c r="F8" s="86"/>
      <c r="G8" s="87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9"/>
    </row>
    <row r="9" spans="1:39" ht="20.100000000000001" customHeight="1" x14ac:dyDescent="0.3">
      <c r="A9" s="90" t="s">
        <v>33</v>
      </c>
      <c r="B9" s="90" t="s">
        <v>2</v>
      </c>
      <c r="C9" s="91">
        <f>_xlfn.VALUETOTEXT(E9) - _xlfn.VALUETOTEXT(D9)</f>
        <v>1</v>
      </c>
      <c r="D9" s="92">
        <v>45951</v>
      </c>
      <c r="E9" s="92">
        <v>45952</v>
      </c>
      <c r="F9" s="93"/>
      <c r="G9" s="94">
        <v>1</v>
      </c>
      <c r="AM9" s="12"/>
    </row>
    <row r="10" spans="1:39" ht="20.100000000000001" customHeight="1" x14ac:dyDescent="0.3">
      <c r="A10" s="90" t="s">
        <v>34</v>
      </c>
      <c r="B10" s="90" t="s">
        <v>3</v>
      </c>
      <c r="C10" s="91">
        <f t="shared" ref="C10:C13" si="2">_xlfn.VALUETOTEXT(E10) - _xlfn.VALUETOTEXT(D10)</f>
        <v>1</v>
      </c>
      <c r="D10" s="92">
        <v>45953</v>
      </c>
      <c r="E10" s="92">
        <v>45954</v>
      </c>
      <c r="F10" s="93"/>
      <c r="G10" s="94">
        <v>1</v>
      </c>
      <c r="AM10" s="12"/>
    </row>
    <row r="11" spans="1:39" ht="20.100000000000001" customHeight="1" x14ac:dyDescent="0.3">
      <c r="A11" s="59">
        <v>1.2</v>
      </c>
      <c r="B11" s="59" t="s">
        <v>37</v>
      </c>
      <c r="C11" s="47"/>
      <c r="D11" s="48"/>
      <c r="E11" s="48"/>
      <c r="F11" s="49"/>
      <c r="G11" s="49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1"/>
    </row>
    <row r="12" spans="1:39" ht="20.100000000000001" customHeight="1" x14ac:dyDescent="0.3">
      <c r="A12" s="18" t="s">
        <v>35</v>
      </c>
      <c r="B12" s="18" t="s">
        <v>4</v>
      </c>
      <c r="C12" s="19">
        <f t="shared" si="2"/>
        <v>2</v>
      </c>
      <c r="D12" s="20">
        <v>45953</v>
      </c>
      <c r="E12" s="20">
        <v>45955</v>
      </c>
      <c r="F12" s="21"/>
      <c r="G12" s="64">
        <v>1</v>
      </c>
      <c r="AM12" s="12"/>
    </row>
    <row r="13" spans="1:39" ht="20.100000000000001" customHeight="1" x14ac:dyDescent="0.3">
      <c r="A13" s="22" t="s">
        <v>36</v>
      </c>
      <c r="B13" s="22" t="s">
        <v>5</v>
      </c>
      <c r="C13" s="23">
        <f t="shared" si="2"/>
        <v>1</v>
      </c>
      <c r="D13" s="24">
        <v>45953</v>
      </c>
      <c r="E13" s="24">
        <v>45954</v>
      </c>
      <c r="F13" s="25"/>
      <c r="G13" s="65">
        <v>1</v>
      </c>
      <c r="AM13" s="12"/>
    </row>
    <row r="14" spans="1:39" ht="20.100000000000001" customHeight="1" x14ac:dyDescent="0.3">
      <c r="A14" s="42">
        <v>2</v>
      </c>
      <c r="B14" s="42" t="s">
        <v>27</v>
      </c>
      <c r="C14" s="43"/>
      <c r="D14" s="44"/>
      <c r="E14" s="44"/>
      <c r="F14" s="45"/>
      <c r="G14" s="4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</row>
    <row r="15" spans="1:39" ht="20.100000000000001" customHeight="1" x14ac:dyDescent="0.3">
      <c r="A15" s="52">
        <v>2.1</v>
      </c>
      <c r="B15" s="53" t="s">
        <v>38</v>
      </c>
      <c r="C15" s="54">
        <f>_xlfn.VALUETOTEXT(E15) - _xlfn.VALUETOTEXT(D15)</f>
        <v>0</v>
      </c>
      <c r="D15" s="55">
        <f>D16</f>
        <v>0</v>
      </c>
      <c r="E15" s="55">
        <f>E19</f>
        <v>0</v>
      </c>
      <c r="F15" s="56"/>
      <c r="G15" s="56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8"/>
    </row>
    <row r="16" spans="1:39" ht="20.100000000000001" customHeight="1" x14ac:dyDescent="0.3">
      <c r="A16" s="26"/>
      <c r="B16" s="27"/>
      <c r="C16" s="28"/>
      <c r="D16" s="29"/>
      <c r="E16" s="29"/>
      <c r="F16" s="21"/>
      <c r="G16" s="21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4"/>
    </row>
    <row r="17" spans="1:39" ht="20.100000000000001" customHeight="1" x14ac:dyDescent="0.3">
      <c r="A17" s="26"/>
      <c r="B17" s="27"/>
      <c r="C17" s="28"/>
      <c r="D17" s="29"/>
      <c r="E17" s="29"/>
      <c r="F17" s="21"/>
      <c r="G17" s="21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4"/>
    </row>
    <row r="18" spans="1:39" ht="20.100000000000001" customHeight="1" x14ac:dyDescent="0.3">
      <c r="A18" s="26"/>
      <c r="B18" s="27"/>
      <c r="C18" s="28"/>
      <c r="D18" s="29"/>
      <c r="E18" s="29"/>
      <c r="F18" s="21"/>
      <c r="G18" s="21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4"/>
    </row>
    <row r="19" spans="1:39" ht="20.100000000000001" customHeight="1" x14ac:dyDescent="0.3">
      <c r="A19" s="26"/>
      <c r="B19" s="27"/>
      <c r="C19" s="28"/>
      <c r="D19" s="29"/>
      <c r="E19" s="29"/>
      <c r="F19" s="21"/>
      <c r="G19" s="21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6"/>
    </row>
    <row r="20" spans="1:39" ht="20.100000000000001" customHeight="1" x14ac:dyDescent="0.3">
      <c r="A20" s="59">
        <v>2.2000000000000002</v>
      </c>
      <c r="B20" s="59" t="s">
        <v>39</v>
      </c>
      <c r="C20" s="54">
        <f>_xlfn.VALUETOTEXT(E20) - _xlfn.VALUETOTEXT(D20)</f>
        <v>0</v>
      </c>
      <c r="D20" s="60">
        <f>D21</f>
        <v>0</v>
      </c>
      <c r="E20" s="60">
        <f>E25</f>
        <v>0</v>
      </c>
      <c r="F20" s="61"/>
      <c r="G20" s="61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3"/>
    </row>
    <row r="21" spans="1:39" ht="20.100000000000001" customHeight="1" x14ac:dyDescent="0.3">
      <c r="A21" s="18"/>
      <c r="B21" s="18"/>
      <c r="C21" s="19"/>
      <c r="D21" s="20"/>
      <c r="E21" s="20"/>
      <c r="F21" s="30"/>
      <c r="G21" s="31"/>
      <c r="AM21" s="12"/>
    </row>
    <row r="22" spans="1:39" ht="20.100000000000001" customHeight="1" x14ac:dyDescent="0.3">
      <c r="A22" s="18"/>
      <c r="B22" s="18"/>
      <c r="C22" s="19"/>
      <c r="D22" s="20"/>
      <c r="E22" s="20"/>
      <c r="F22" s="30"/>
      <c r="G22" s="31"/>
      <c r="AM22" s="12"/>
    </row>
    <row r="23" spans="1:39" ht="20.100000000000001" customHeight="1" x14ac:dyDescent="0.3">
      <c r="A23" s="18"/>
      <c r="B23" s="18"/>
      <c r="C23" s="19"/>
      <c r="D23" s="20"/>
      <c r="E23" s="20"/>
      <c r="F23" s="21"/>
      <c r="G23" s="21"/>
      <c r="AM23" s="12"/>
    </row>
    <row r="24" spans="1:39" ht="20.100000000000001" customHeight="1" x14ac:dyDescent="0.3">
      <c r="A24" s="18"/>
      <c r="B24" s="18"/>
      <c r="C24" s="19"/>
      <c r="D24" s="20"/>
      <c r="E24" s="20"/>
      <c r="F24" s="21"/>
      <c r="G24" s="21"/>
      <c r="AM24" s="12"/>
    </row>
    <row r="25" spans="1:39" ht="20.100000000000001" customHeight="1" x14ac:dyDescent="0.3">
      <c r="A25" s="18"/>
      <c r="B25" s="18"/>
      <c r="C25" s="19"/>
      <c r="D25" s="20"/>
      <c r="E25" s="20"/>
      <c r="F25" s="21"/>
      <c r="G25" s="21"/>
      <c r="AM25" s="12"/>
    </row>
    <row r="26" spans="1:39" ht="20.100000000000001" customHeight="1" x14ac:dyDescent="0.3">
      <c r="A26" s="59">
        <v>2.2999999999999998</v>
      </c>
      <c r="B26" s="59" t="s">
        <v>30</v>
      </c>
      <c r="C26" s="54">
        <f>_xlfn.VALUETOTEXT(E26) - _xlfn.VALUETOTEXT(D26)</f>
        <v>4</v>
      </c>
      <c r="D26" s="60">
        <f>D27</f>
        <v>45964</v>
      </c>
      <c r="E26" s="60">
        <f>E29</f>
        <v>45968</v>
      </c>
      <c r="F26" s="61"/>
      <c r="G26" s="61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3"/>
    </row>
    <row r="27" spans="1:39" ht="20.100000000000001" customHeight="1" x14ac:dyDescent="0.3">
      <c r="A27" s="18" t="s">
        <v>6</v>
      </c>
      <c r="B27" s="18" t="s">
        <v>7</v>
      </c>
      <c r="C27" s="19">
        <f t="shared" ref="C27:C29" si="3">_xlfn.VALUETOTEXT(E27) - _xlfn.VALUETOTEXT(D27)</f>
        <v>2</v>
      </c>
      <c r="D27" s="20">
        <v>45964</v>
      </c>
      <c r="E27" s="20">
        <v>45966</v>
      </c>
      <c r="F27" s="21"/>
      <c r="G27" s="31"/>
      <c r="AM27" s="12"/>
    </row>
    <row r="28" spans="1:39" ht="20.100000000000001" customHeight="1" x14ac:dyDescent="0.3">
      <c r="A28" s="18" t="s">
        <v>8</v>
      </c>
      <c r="B28" s="18" t="s">
        <v>9</v>
      </c>
      <c r="C28" s="19">
        <f t="shared" si="3"/>
        <v>2</v>
      </c>
      <c r="D28" s="20">
        <v>45965</v>
      </c>
      <c r="E28" s="20">
        <v>45967</v>
      </c>
      <c r="F28" s="21"/>
      <c r="G28" s="21"/>
      <c r="AM28" s="12"/>
    </row>
    <row r="29" spans="1:39" ht="20.100000000000001" customHeight="1" x14ac:dyDescent="0.3">
      <c r="A29" s="18" t="s">
        <v>10</v>
      </c>
      <c r="B29" s="18" t="s">
        <v>11</v>
      </c>
      <c r="C29" s="19">
        <f t="shared" si="3"/>
        <v>2</v>
      </c>
      <c r="D29" s="20">
        <v>45966</v>
      </c>
      <c r="E29" s="20">
        <v>45968</v>
      </c>
      <c r="F29" s="21"/>
      <c r="G29" s="21"/>
      <c r="AM29" s="12"/>
    </row>
    <row r="30" spans="1:39" ht="20.100000000000001" customHeight="1" x14ac:dyDescent="0.3">
      <c r="A30" s="42">
        <v>3</v>
      </c>
      <c r="B30" s="42" t="s">
        <v>28</v>
      </c>
      <c r="C30" s="43">
        <f>_xlfn.VALUETOTEXT(E30) - _xlfn.VALUETOTEXT(D30)</f>
        <v>4</v>
      </c>
      <c r="D30" s="44">
        <f>D31</f>
        <v>45985</v>
      </c>
      <c r="E30" s="44">
        <f>E34</f>
        <v>45989</v>
      </c>
      <c r="F30" s="46"/>
      <c r="G30" s="46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</row>
    <row r="31" spans="1:39" ht="20.100000000000001" customHeight="1" x14ac:dyDescent="0.3">
      <c r="A31" s="32">
        <v>3.1</v>
      </c>
      <c r="B31" s="32" t="s">
        <v>12</v>
      </c>
      <c r="C31" s="33">
        <f>_xlfn.VALUETOTEXT(E31) - _xlfn.VALUETOTEXT(D31)</f>
        <v>1</v>
      </c>
      <c r="D31" s="34">
        <v>45985</v>
      </c>
      <c r="E31" s="34">
        <v>45986</v>
      </c>
      <c r="F31" s="35"/>
      <c r="G31" s="35"/>
      <c r="AM31" s="12"/>
    </row>
    <row r="32" spans="1:39" ht="20.100000000000001" customHeight="1" x14ac:dyDescent="0.3">
      <c r="A32" s="18">
        <v>3.2</v>
      </c>
      <c r="B32" s="18" t="s">
        <v>13</v>
      </c>
      <c r="C32" s="19">
        <f t="shared" ref="C32:C34" si="4">_xlfn.VALUETOTEXT(E32) - _xlfn.VALUETOTEXT(D32)</f>
        <v>1</v>
      </c>
      <c r="D32" s="20">
        <v>45986</v>
      </c>
      <c r="E32" s="20">
        <v>45987</v>
      </c>
      <c r="F32" s="21"/>
      <c r="G32" s="21"/>
      <c r="AM32" s="12"/>
    </row>
    <row r="33" spans="1:39" ht="20.100000000000001" customHeight="1" x14ac:dyDescent="0.3">
      <c r="A33" s="18">
        <v>3.3</v>
      </c>
      <c r="B33" s="18" t="s">
        <v>14</v>
      </c>
      <c r="C33" s="19">
        <f t="shared" si="4"/>
        <v>1</v>
      </c>
      <c r="D33" s="20">
        <v>45987</v>
      </c>
      <c r="E33" s="20">
        <v>45988</v>
      </c>
      <c r="F33" s="21"/>
      <c r="G33" s="21"/>
      <c r="AM33" s="12"/>
    </row>
    <row r="34" spans="1:39" ht="20.100000000000001" customHeight="1" x14ac:dyDescent="0.3">
      <c r="A34" s="22">
        <v>3.4</v>
      </c>
      <c r="B34" s="22" t="s">
        <v>15</v>
      </c>
      <c r="C34" s="23">
        <f t="shared" si="4"/>
        <v>1</v>
      </c>
      <c r="D34" s="24">
        <v>45988</v>
      </c>
      <c r="E34" s="24">
        <v>45989</v>
      </c>
      <c r="F34" s="25"/>
      <c r="G34" s="25"/>
      <c r="AM34" s="12"/>
    </row>
    <row r="35" spans="1:39" ht="20.100000000000001" customHeight="1" x14ac:dyDescent="0.3">
      <c r="A35" s="42">
        <v>4</v>
      </c>
      <c r="B35" s="42" t="s">
        <v>29</v>
      </c>
      <c r="C35" s="43">
        <f>_xlfn.VALUETOTEXT(E35) - _xlfn.VALUETOTEXT(D35)</f>
        <v>4</v>
      </c>
      <c r="D35" s="44">
        <f>D36</f>
        <v>45992</v>
      </c>
      <c r="E35" s="44">
        <f>E38</f>
        <v>45996</v>
      </c>
      <c r="F35" s="46"/>
      <c r="G35" s="46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</row>
    <row r="36" spans="1:39" ht="20.100000000000001" customHeight="1" x14ac:dyDescent="0.3">
      <c r="A36" s="32">
        <v>4.0999999999999996</v>
      </c>
      <c r="B36" s="32" t="s">
        <v>16</v>
      </c>
      <c r="C36" s="33">
        <f>_xlfn.VALUETOTEXT(E36) - _xlfn.VALUETOTEXT(D36)</f>
        <v>1</v>
      </c>
      <c r="D36" s="34">
        <v>45992</v>
      </c>
      <c r="E36" s="34">
        <v>45993</v>
      </c>
      <c r="F36" s="35"/>
      <c r="G36" s="35"/>
      <c r="AM36" s="12"/>
    </row>
    <row r="37" spans="1:39" ht="20.100000000000001" customHeight="1" x14ac:dyDescent="0.3">
      <c r="A37" s="18">
        <v>4.2</v>
      </c>
      <c r="B37" s="18" t="s">
        <v>17</v>
      </c>
      <c r="C37" s="19">
        <f t="shared" ref="C37:C38" si="5">_xlfn.VALUETOTEXT(E37) - _xlfn.VALUETOTEXT(D37)</f>
        <v>1</v>
      </c>
      <c r="D37" s="20">
        <v>45994</v>
      </c>
      <c r="E37" s="20">
        <v>45995</v>
      </c>
      <c r="F37" s="21"/>
      <c r="G37" s="21"/>
      <c r="AM37" s="12"/>
    </row>
    <row r="38" spans="1:39" ht="20.100000000000001" customHeight="1" x14ac:dyDescent="0.3">
      <c r="A38" s="36">
        <v>4.3</v>
      </c>
      <c r="B38" s="36" t="s">
        <v>18</v>
      </c>
      <c r="C38" s="37">
        <f t="shared" si="5"/>
        <v>0</v>
      </c>
      <c r="D38" s="38">
        <v>45996</v>
      </c>
      <c r="E38" s="38">
        <v>45996</v>
      </c>
      <c r="F38" s="39"/>
      <c r="G38" s="4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1"/>
    </row>
  </sheetData>
  <mergeCells count="10">
    <mergeCell ref="H14:AM14"/>
    <mergeCell ref="H30:AM30"/>
    <mergeCell ref="H35:AM35"/>
    <mergeCell ref="A1:AM1"/>
    <mergeCell ref="D3:E3"/>
    <mergeCell ref="F4:G4"/>
    <mergeCell ref="F3:G3"/>
    <mergeCell ref="H3:AH3"/>
    <mergeCell ref="AI3:AM3"/>
    <mergeCell ref="A5:B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개정이력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준휘 안</dc:creator>
  <cp:lastModifiedBy>준휘 안</cp:lastModifiedBy>
  <dcterms:created xsi:type="dcterms:W3CDTF">2025-10-21T03:04:08Z</dcterms:created>
  <dcterms:modified xsi:type="dcterms:W3CDTF">2025-11-14T08:20:52Z</dcterms:modified>
</cp:coreProperties>
</file>